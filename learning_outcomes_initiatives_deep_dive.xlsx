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2.xml" ContentType="application/vnd.openxmlformats-officedocument.spreadsheetml.worksheet+xml"/>
  <Override PartName="/xl/tables/table5.xml" ContentType="application/vnd.openxmlformats-officedocument.spreadsheetml.table+xml"/>
  <Override PartName="/xl/worksheets/sheet3.xml" ContentType="application/vnd.openxmlformats-officedocument.spreadsheetml.worksheet+xml"/>
  <Override PartName="/xl/tables/table6.xml" ContentType="application/vnd.openxmlformats-officedocument.spreadsheetml.table+xml"/>
  <Override PartName="/xl/worksheets/sheet4.xml" ContentType="application/vnd.openxmlformats-officedocument.spreadsheetml.worksheet+xml"/>
  <Override PartName="/xl/tables/table7.xml" ContentType="application/vnd.openxmlformats-officedocument.spreadsheetml.table+xml"/>
  <Override PartName="/xl/worksheets/sheet5.xml" ContentType="application/vnd.openxmlformats-officedocument.spreadsheetml.worksheet+xml"/>
  <Override PartName="/xl/tables/table8.xml" ContentType="application/vnd.openxmlformats-officedocument.spreadsheetml.table+xml"/>
  <Override PartName="/xl/worksheets/sheet6.xml" ContentType="application/vnd.openxmlformats-officedocument.spreadsheetml.worksheet+xml"/>
  <Override PartName="/xl/tables/table9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5a01dcc62a40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e3a48fa815ea4de3"/>
    <x:sheet xmlns:r="http://schemas.openxmlformats.org/officeDocument/2006/relationships" name="Initiatives Matrix" sheetId="2" r:id="Re0fd4120f30d43f0"/>
    <x:sheet xmlns:r="http://schemas.openxmlformats.org/officeDocument/2006/relationships" name="Input Schema" sheetId="3" r:id="R9dee5a25a12f4446"/>
    <x:sheet xmlns:r="http://schemas.openxmlformats.org/officeDocument/2006/relationships" name="Output Schema" sheetId="4" r:id="R8b45a81952344db9"/>
    <x:sheet xmlns:r="http://schemas.openxmlformats.org/officeDocument/2006/relationships" name="Dichotomies" sheetId="5" r:id="Rd6bb635247ba4c3a"/>
    <x:sheet xmlns:r="http://schemas.openxmlformats.org/officeDocument/2006/relationships" name="Sources &amp; Methods" sheetId="6" r:id="R0761c3d3fe514bcf"/>
    <x:sheet xmlns:r="http://schemas.openxmlformats.org/officeDocument/2006/relationships" name="Lists" sheetId="7" r:id="R7cc027edc0be46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7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sz val="11"/>
      <x:color rgb="FF374151"/>
      <x:name val="Carlito"/>
    </x:font>
    <x:font>
      <x:b/>
      <x:sz val="11"/>
      <x:name val="Carlito"/>
    </x:font>
    <x:font>
      <x:b/>
      <x:sz val="16"/>
      <x:name val="Carlito"/>
    </x:font>
    <x:font>
      <x:b/>
      <x:sz val="11"/>
      <x:color rgb="FF1F2937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0B1F33"/>
      </x:patternFill>
    </x:fill>
    <x:fill>
      <x:patternFill patternType="solid">
        <x:fgColor rgb="FFF3F4F6"/>
      </x:patternFill>
    </x:fill>
    <x:fill>
      <x:patternFill patternType="solid">
        <x:fgColor rgb="FFEEF2FF"/>
      </x:patternFill>
    </x:fill>
    <x:fill>
      <x:patternFill patternType="solid">
        <x:fgColor rgb="FFFFFFFF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7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4" fillId="6" borderId="0" xfId="0" applyNumberFormat="1" applyFont="1" applyFill="1" applyBorder="1" applyAlignment="1">
      <x:alignment horizontal="center" vertical="center" wrapText="1"/>
    </x:xf>
    <x:xf numFmtId="0" fontId="5" fillId="6" borderId="0" xfId="0" applyNumberFormat="1" applyFont="1" applyFill="1" applyBorder="1" applyAlignment="1">
      <x:alignment horizontal="center" vertical="center" wrapText="1"/>
    </x:xf>
    <x:xf numFmtId="0" fontId="4" fillId="6" borderId="1" xfId="0" applyNumberFormat="1" applyFont="1" applyFill="1" applyBorder="1" applyAlignment="1">
      <x:alignment horizontal="center" vertical="center" wrapText="1"/>
    </x:xf>
    <x:xf numFmtId="0" fontId="5" fillId="6" borderId="1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horizontal="center" wrapText="1"/>
    </x:xf>
    <x:xf numFmtId="0" fontId="6" fillId="7" borderId="0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/>
    <x:xf numFmtId="0" fontId="6" fillId="7" borderId="1" xfId="0" applyNumberFormat="1" applyFont="1" applyFill="1" applyBorder="1"/>
    <x:xf numFmtId="0" fontId="6" fillId="7" borderId="1" xfId="0" applyNumberFormat="1" applyFont="1" applyFill="1" applyBorder="1" applyAlignment="1">
      <x:alignment wrapText="1"/>
    </x:xf>
    <x:xf numFmtId="0" fontId="6" fillId="7" borderId="1" xfId="0" applyNumberFormat="1" applyFont="1" applyFill="1" applyBorder="1" applyAlignment="1">
      <x:alignment horizontal="center" wrapText="1"/>
    </x:xf>
    <x:xf numFmtId="0" fontId="6" fillId="7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2" fillId="3" borderId="0" xfId="0" applyNumberFormat="1" applyFont="1" applyFill="1" applyBorder="1" applyAlignment="1">
      <x:alignment horizontal="left" vertical="top" wrapText="1"/>
    </x:xf>
    <x:xf numFmtId="0" fontId="0" fillId="0" borderId="0" xfId="0" applyNumberFormat="1" applyFont="1" applyFill="1" applyBorder="1" applyAlignment="1">
      <x:alignment vertical="top"/>
    </x:xf>
    <x:xf numFmtId="0" fontId="4" fillId="5" borderId="0" xfId="0" applyNumberFormat="1" applyFont="1" applyFill="1" applyBorder="1" applyAlignment="1">
      <x:alignment horizontal="center" vertical="top" wrapText="1"/>
    </x:xf>
    <x:xf numFmtId="0" fontId="5" fillId="6" borderId="0" xfId="0" applyNumberFormat="1" applyFont="1" applyFill="1" applyBorder="1" applyAlignment="1">
      <x:alignment horizontal="center" vertical="top" wrapText="1"/>
    </x:xf>
    <x:xf numFmtId="0" fontId="6" fillId="7" borderId="0" xfId="0" applyNumberFormat="1" applyFont="1" applyFill="1" applyBorder="1" applyAlignment="1">
      <x:alignment horizontal="center" vertical="top" wrapText="1"/>
    </x:xf>
    <x:xf numFmtId="20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5">
    <x:dxf>
      <x:fill>
        <x:patternFill patternType="solid">
          <x:bgColor rgb="FFDCFCE7"/>
        </x:patternFill>
      </x:fill>
    </x:dxf>
    <x:dxf>
      <x:fill>
        <x:patternFill patternType="solid">
          <x:bgColor rgb="FFE0F2FE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3F4F6"/>
        </x:patternFill>
      </x:fill>
    </x:dxf>
    <x:dxf>
      <x:fill>
        <x:patternFill patternType="solid">
          <x:bgColor rgb="FFEDE9F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9f3f3f93ba4a4f" /><Relationship Type="http://schemas.openxmlformats.org/officeDocument/2006/relationships/theme" Target="/xl/theme/theme1.xml" Id="R183b10522ad24e5b" /><Relationship Type="http://schemas.openxmlformats.org/officeDocument/2006/relationships/sharedStrings" Target="/xl/sharedStrings.xml" Id="Rbe820be1b6104ec6" /><Relationship Type="http://schemas.openxmlformats.org/officeDocument/2006/relationships/worksheet" Target="/xl/worksheets/sheet1.xml" Id="Re3a48fa815ea4de3" /><Relationship Type="http://schemas.openxmlformats.org/officeDocument/2006/relationships/worksheet" Target="/xl/worksheets/sheet2.xml" Id="Re0fd4120f30d43f0" /><Relationship Type="http://schemas.openxmlformats.org/officeDocument/2006/relationships/worksheet" Target="/xl/worksheets/sheet3.xml" Id="R9dee5a25a12f4446" /><Relationship Type="http://schemas.openxmlformats.org/officeDocument/2006/relationships/worksheet" Target="/xl/worksheets/sheet4.xml" Id="R8b45a81952344db9" /><Relationship Type="http://schemas.openxmlformats.org/officeDocument/2006/relationships/worksheet" Target="/xl/worksheets/sheet5.xml" Id="Rd6bb635247ba4c3a" /><Relationship Type="http://schemas.openxmlformats.org/officeDocument/2006/relationships/worksheet" Target="/xl/worksheets/sheet6.xml" Id="R0761c3d3fe514bcf" /><Relationship Type="http://schemas.openxmlformats.org/officeDocument/2006/relationships/worksheet" Target="/xl/worksheets/sheet7.xml" Id="R7cc027edc0be463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bfcbd51cb354f2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Initiatives by Category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'Dashboard'!$A$14:$A$26</c:f>
              <c:strCache>
                <c:ptCount val="0"/>
              </c:strCache>
            </c:strRef>
          </c:cat>
          <c:val>
            <c:numRef>
              <c:f>'Dashboard'!$B$14:$B$26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</xdr:row>
      <xdr:rowOff>0</xdr:rowOff>
    </xdr:from>
    <xdr:to>
      <xdr:col>18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bfcbd51cb354f2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6" name="CategoryCounts" displayName="CategoryCounts" ref="A13:C26" headerRowCount="1">
  <x:tableColumns count="3">
    <x:tableColumn id="1" name="Category"/>
    <x:tableColumn id="2" name="Count"/>
    <x:tableColumn id="3" name="Share"/>
  </x:tableColumns>
  <x:tableStyleInfo name="TableStyleMedium2" showRowStripes="1"/>
</x:table>
</file>

<file path=xl/tables/table2.xml><?xml version="1.0" encoding="utf-8"?>
<x:table xmlns:x="http://schemas.openxmlformats.org/spreadsheetml/2006/main" id="7" name="EvidenceCounts" displayName="EvidenceCounts" ref="E13:G18" headerRowCount="1">
  <x:tableColumns count="3">
    <x:tableColumn id="1" name="Evidence signal"/>
    <x:tableColumn id="2" name="Count"/>
    <x:tableColumn id="3" name="Share"/>
  </x:tableColumns>
  <x:tableStyleInfo name="TableStyleMedium2" showRowStripes="1"/>
</x:table>
</file>

<file path=xl/tables/table3.xml><?xml version="1.0" encoding="utf-8"?>
<x:table xmlns:x="http://schemas.openxmlformats.org/spreadsheetml/2006/main" id="8" name="DesignCounts" displayName="DesignCounts" ref="A32:C40" headerRowCount="1">
  <x:tableColumns count="3">
    <x:tableColumn id="1" name="Evaluation design tag"/>
    <x:tableColumn id="2" name="Rows mentioning it"/>
    <x:tableColumn id="3" name="Interpretation"/>
  </x:tableColumns>
  <x:tableStyleInfo name="TableStyleMedium2" showRowStripes="1"/>
</x:table>
</file>

<file path=xl/tables/table4.xml><?xml version="1.0" encoding="utf-8"?>
<x:table xmlns:x="http://schemas.openxmlformats.org/spreadsheetml/2006/main" id="9" name="SheetNavigation" displayName="SheetNavigation" ref="E32:H37" headerRowCount="1">
  <x:tableColumns count="4">
    <x:tableColumn id="1" name="Sheet"/>
    <x:tableColumn id="2" name="Primary use"/>
    <x:tableColumn id="3" name="Key fields"/>
    <x:tableColumn id="4" name="Best first filter"/>
  </x:tableColumns>
  <x:tableStyleInfo name="TableStyleMedium2" showRowStripes="1"/>
</x:table>
</file>

<file path=xl/tables/table5.xml><?xml version="1.0" encoding="utf-8"?>
<x:table xmlns:x="http://schemas.openxmlformats.org/spreadsheetml/2006/main" id="1" name="InitiativesTable" displayName="InitiativesTable" ref="A1:N66" headerRowCount="1">
  <x:tableColumns count="14">
    <x:tableColumn id="1" name="ID"/>
    <x:tableColumn id="2" name="Initiative / program / policy"/>
    <x:tableColumn id="3" name="Years / scale"/>
    <x:tableColumn id="4" name="Category"/>
    <x:tableColumn id="5" name="Core theory of action"/>
    <x:tableColumn id="6" name="Input variables changed"/>
    <x:tableColumn id="7" name="Target population / setting"/>
    <x:tableColumn id="8" name="Common evaluation designs"/>
    <x:tableColumn id="9" name="Evidence signal"/>
    <x:tableColumn id="10" name="Outputs measured"/>
    <x:tableColumn id="11" name="Fair comparison / normalization issues"/>
    <x:tableColumn id="12" name="One-line finding"/>
    <x:tableColumn id="13" name="Source URLs"/>
    <x:tableColumn id="14" name="Tags"/>
  </x:tableColumns>
  <x:tableStyleInfo name="TableStyleMedium2" showRowStripes="1"/>
</x:table>
</file>

<file path=xl/tables/table6.xml><?xml version="1.0" encoding="utf-8"?>
<x:table xmlns:x="http://schemas.openxmlformats.org/spreadsheetml/2006/main" id="2" name="InputSchemaTable" displayName="InputSchemaTable" ref="A1:H16" headerRowCount="1">
  <x:tableColumns count="8">
    <x:tableColumn id="1" name="Variable family"/>
    <x:tableColumn id="2" name="Specific variables / fields"/>
    <x:tableColumn id="3" name="Unit / scale"/>
    <x:tableColumn id="4" name="How researchers normalize or harmonize"/>
    <x:tableColumn id="5" name="Cross-study warnings"/>
    <x:tableColumn id="6" name="Common data sources"/>
    <x:tableColumn id="7" name="Example source URLs"/>
    <x:tableColumn id="8" name="Example initiatives"/>
  </x:tableColumns>
  <x:tableStyleInfo name="TableStyleMedium2" showRowStripes="1"/>
</x:table>
</file>

<file path=xl/tables/table7.xml><?xml version="1.0" encoding="utf-8"?>
<x:table xmlns:x="http://schemas.openxmlformats.org/spreadsheetml/2006/main" id="3" name="OutputSchemaTable" displayName="OutputSchemaTable" ref="A1:H17" headerRowCount="1">
  <x:tableColumns count="8">
    <x:tableColumn id="1" name="Outcome family"/>
    <x:tableColumn id="2" name="Metrics / fields"/>
    <x:tableColumn id="3" name="Unit / scale"/>
    <x:tableColumn id="4" name="Fair evaluation methods"/>
    <x:tableColumn id="5" name="Normalization / comparability"/>
    <x:tableColumn id="6" name="Caveats / gaming risks"/>
    <x:tableColumn id="7" name="Example source URLs"/>
    <x:tableColumn id="8" name="Example initiatives"/>
  </x:tableColumns>
  <x:tableStyleInfo name="TableStyleMedium2" showRowStripes="1"/>
</x:table>
</file>

<file path=xl/tables/table8.xml><?xml version="1.0" encoding="utf-8"?>
<x:table xmlns:x="http://schemas.openxmlformats.org/spreadsheetml/2006/main" id="4" name="DichotomiesTable" displayName="DichotomiesTable" ref="A1:G22" headerRowCount="1">
  <x:tableColumns count="7">
    <x:tableColumn id="1" name="Dichotomy / debate"/>
    <x:tableColumn id="2" name="Poles"/>
    <x:tableColumn id="3" name="Philosophical disagreement"/>
    <x:tableColumn id="4" name="What the evidence suggests"/>
    <x:tableColumn id="5" name="Better synthesis question"/>
    <x:tableColumn id="6" name="Representative initiatives / sources"/>
    <x:tableColumn id="7" name="Source URLs"/>
  </x:tableColumns>
  <x:tableStyleInfo name="TableStyleMedium2" showRowStripes="1"/>
</x:table>
</file>

<file path=xl/tables/table9.xml><?xml version="1.0" encoding="utf-8"?>
<x:table xmlns:x="http://schemas.openxmlformats.org/spreadsheetml/2006/main" id="5" name="MethodsTable" displayName="MethodsTable" ref="A1:D21" headerRowCount="1">
  <x:tableColumns count="4">
    <x:tableColumn id="1" name="Section"/>
    <x:tableColumn id="2" name="Item"/>
    <x:tableColumn id="3" name="Definition / use"/>
    <x:tableColumn id="4" name="Primary URL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d456fdee8974086" /><Relationship Type="http://schemas.openxmlformats.org/officeDocument/2006/relationships/table" Target="/xl/tables/table1.xml" Id="Rafaf2f88376c48b2" /><Relationship Type="http://schemas.openxmlformats.org/officeDocument/2006/relationships/table" Target="/xl/tables/table2.xml" Id="R4ffbe322a7d3477b" /><Relationship Type="http://schemas.openxmlformats.org/officeDocument/2006/relationships/table" Target="/xl/tables/table3.xml" Id="R723d99b7ed4c4e63" /><Relationship Type="http://schemas.openxmlformats.org/officeDocument/2006/relationships/table" Target="/xl/tables/table4.xml" Id="R3bc5fbe6edae477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5.xml" Id="R79337aeaab864a7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6.xml" Id="R1b9406f890d2476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7.xml" Id="Rb288602e69c2482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8.xml" Id="R6a55e1849ffe4dc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9.xml" Id="Rb20e8c5a6810471c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14" hidden="0" customWidth="1"/>
    <x:col min="4" max="4" width="26" hidden="0" customWidth="1"/>
    <x:col min="5" max="5" width="48" hidden="0" customWidth="1"/>
    <x:col min="6" max="6" width="22" hidden="0" customWidth="1"/>
    <x:col min="7" max="7" width="14" hidden="0" customWidth="1"/>
    <x:col min="8" max="8" width="24" hidden="0" customWidth="1"/>
  </x:cols>
  <x:sheetData>
    <x:row r="1" ht="34" customHeight="1">
      <x:c r="A1" s="64" t="str">
        <x:v>USA Learning Outcomes Research Deep Dive - Initiatives, Inputs, Outputs, and Dichotomies</x:v>
      </x:c>
      <x:c r="B1" s="64"/>
      <x:c r="C1" s="64"/>
      <x:c r="D1" s="64"/>
      <x:c r="E1" s="64"/>
      <x:c r="F1" s="64"/>
      <x:c r="G1" s="64"/>
      <x:c r="H1" s="64"/>
    </x:row>
    <x:row r="2" ht="54" customHeight="1">
      <x:c r="A2" s="31" t="str">
        <x:v>As of</x:v>
      </x:c>
      <x:c r="B2" s="31" t="str">
        <x:v>2026-06-15</x:v>
      </x:c>
      <x:c r="C2" s="31" t="str">
        <x:v>Scope</x:v>
      </x:c>
      <x:c r="D2" s="31" t="str">
        <x:v>US K-12 and adjacent early childhood/postsecondary initiatives</x:v>
      </x:c>
      <x:c r="E2" s="31" t="str">
        <x:v>Evidence note</x:v>
      </x:c>
      <x:c r="F2" s="31" t="str">
        <x:v>Rows distinguish causal confidence from public prominence.</x:v>
      </x:c>
      <x:c r="G2" s="31" t="str">
        <x:v>Use</x:v>
      </x:c>
      <x:c r="H2" s="31" t="str">
        <x:v>Filter the matrix by category, design, or evidence signal.</x:v>
      </x:c>
    </x:row>
    <x:row r="3" ht="54" customHeight="1">
      <x:c r="A3" s="31" t="str">
        <x:v>Core lens</x:v>
      </x:c>
      <x:c r="B3" s="31" t="str">
        <x:v>Mechanism + dosage + fidelity</x:v>
      </x:c>
      <x:c r="C3" s="31" t="str">
        <x:v>Primary outcomes</x:v>
      </x:c>
      <x:c r="D3" s="31" t="str">
        <x:v>Achievement, progression, completion, postsecondary, adult outcomes</x:v>
      </x:c>
      <x:c r="E3" s="31" t="str">
        <x:v>Warning</x:v>
      </x:c>
      <x:c r="F3" s="31" t="str">
        <x:v>Famous reforms are often bundles, not single treatments.</x:v>
      </x:c>
      <x:c r="G3" s="31" t="str">
        <x:v>Normalization</x:v>
      </x:c>
      <x:c r="H3" s="31" t="str">
        <x:v>Use SD effects, common scales, ITT/TOT, pre-trends, and cost.</x:v>
      </x:c>
    </x:row>
    <x:row r="4" ht="54" customHeight="1">
      <x:c r="A4" s="31" t="str">
        <x:v>Workbook</x:v>
      </x:c>
      <x:c r="B4" s="31" t="str">
        <x:v>Initiatives Matrix</x:v>
      </x:c>
      <x:c r="C4" s="31" t="str">
        <x:v>Schemas</x:v>
      </x:c>
      <x:c r="D4" s="31" t="str">
        <x:v>Input and output variables</x:v>
      </x:c>
      <x:c r="E4" s="31" t="str">
        <x:v>Debates</x:v>
      </x:c>
      <x:c r="F4" s="31" t="str">
        <x:v>Philosophical dichotomies</x:v>
      </x:c>
      <x:c r="G4" s="31" t="str">
        <x:v>Sources</x:v>
      </x:c>
      <x:c r="H4" s="31" t="str">
        <x:v>Plain URLs included in source columns.</x:v>
      </x:c>
    </x:row>
    <x:row r="5">
      <x:c r="A5" s="65"/>
      <x:c r="B5" s="65"/>
      <x:c r="C5" s="65"/>
      <x:c r="D5" s="65"/>
      <x:c r="E5" s="65"/>
      <x:c r="F5" s="65"/>
      <x:c r="G5" s="65"/>
      <x:c r="H5" s="65"/>
    </x:row>
    <x:row r="6" ht="42" customHeight="1">
      <x:c r="A6" s="66" t="str">
        <x:v>Total initiatives</x:v>
      </x:c>
      <x:c r="B6" s="67" t="n">
        <x:f>COUNTA('Initiatives Matrix'!$A:$A)-1</x:f>
        <x:v>65</x:v>
      </x:c>
      <x:c r="C6" s="65"/>
      <x:c r="D6" s="14" t="str">
        <x:v>Takeaway</x:v>
      </x:c>
      <x:c r="E6" s="14" t="str">
        <x:v>What it means for cross-initiative comparison</x:v>
      </x:c>
      <x:c r="F6" s="65"/>
      <x:c r="G6" s="65"/>
      <x:c r="H6" s="65"/>
    </x:row>
    <x:row r="7" ht="42" customHeight="1">
      <x:c r="A7" s="66" t="str">
        <x:v>Input variable families</x:v>
      </x:c>
      <x:c r="B7" s="67" t="n">
        <x:f>COUNTA('Input Schema'!$A:$A)-1</x:f>
        <x:v>15</x:v>
      </x:c>
      <x:c r="C7" s="65"/>
      <x:c r="D7" s="31" t="str">
        <x:v>No single magic reform</x:v>
      </x:c>
      <x:c r="E7" s="31" t="str">
        <x:v>The strongest studies usually isolate mechanisms: dosage, class size, tutoring, coaching, lottery access, or spending exposure.</x:v>
      </x:c>
      <x:c r="F7" s="65"/>
      <x:c r="G7" s="65"/>
      <x:c r="H7" s="65"/>
    </x:row>
    <x:row r="8" ht="42" customHeight="1">
      <x:c r="A8" s="66" t="str">
        <x:v>Output outcome families</x:v>
      </x:c>
      <x:c r="B8" s="67" t="n">
        <x:f>COUNTA('Output Schema'!$A:$A)-1</x:f>
        <x:v>16</x:v>
      </x:c>
      <x:c r="C8" s="65"/>
      <x:c r="D8" s="31" t="str">
        <x:v>Implementation is a variable</x:v>
      </x:c>
      <x:c r="E8" s="31" t="str">
        <x:v>Adoption, fidelity, teacher practice, and attendance often explain why famous reforms do or do not move outcomes.</x:v>
      </x:c>
      <x:c r="F8" s="65"/>
      <x:c r="G8" s="65"/>
      <x:c r="H8" s="65"/>
    </x:row>
    <x:row r="9" ht="42" customHeight="1">
      <x:c r="A9" s="66" t="str">
        <x:v>Dichotomies mapped</x:v>
      </x:c>
      <x:c r="B9" s="67" t="n">
        <x:f>COUNTA('Dichotomies'!$A:$A)-1</x:f>
        <x:v>21</x:v>
      </x:c>
      <x:c r="C9" s="65"/>
      <x:c r="D9" s="31" t="str">
        <x:v>Outputs must match theory</x:v>
      </x:c>
      <x:c r="E9" s="31" t="str">
        <x:v>Early literacy reforms should measure decoding and comprehension; school models should track graduation and postsecondary outcomes.</x:v>
      </x:c>
      <x:c r="F9" s="65"/>
      <x:c r="G9" s="65"/>
      <x:c r="H9" s="65"/>
    </x:row>
    <x:row r="10" ht="42" customHeight="1">
      <x:c r="A10" s="65"/>
      <x:c r="B10" s="65"/>
      <x:c r="C10" s="65"/>
      <x:c r="D10" s="31" t="str">
        <x:v>Use several evidence tiers</x:v>
      </x:c>
      <x:c r="E10" s="31" t="str">
        <x:v>NAEP/state trends are useful but should not be confused with RCT, lottery, RD, or strong DiD designs.</x:v>
      </x:c>
      <x:c r="F10" s="65"/>
      <x:c r="G10" s="65"/>
      <x:c r="H10" s="65"/>
    </x:row>
    <x:row r="11">
      <x:c r="A11" s="65"/>
      <x:c r="B11" s="65"/>
      <x:c r="C11" s="65"/>
      <x:c r="D11" s="65"/>
      <x:c r="E11" s="65"/>
      <x:c r="F11" s="65"/>
      <x:c r="G11" s="65"/>
      <x:c r="H11" s="65"/>
    </x:row>
    <x:row r="12">
      <x:c r="A12" s="65"/>
      <x:c r="B12" s="65"/>
      <x:c r="C12" s="65"/>
      <x:c r="D12" s="65"/>
      <x:c r="E12" s="65"/>
      <x:c r="F12" s="65"/>
      <x:c r="G12" s="65"/>
      <x:c r="H12" s="65"/>
    </x:row>
    <x:row r="13" ht="34" customHeight="1">
      <x:c r="A13" s="68" t="str">
        <x:v>Category</x:v>
      </x:c>
      <x:c r="B13" s="68" t="str">
        <x:v>Count</x:v>
      </x:c>
      <x:c r="C13" s="68" t="str">
        <x:v>Share</x:v>
      </x:c>
      <x:c r="D13" s="65"/>
      <x:c r="E13" s="68" t="str">
        <x:v>Evidence signal</x:v>
      </x:c>
      <x:c r="F13" s="68" t="str">
        <x:v>Count</x:v>
      </x:c>
      <x:c r="G13" s="68" t="str">
        <x:v>Share</x:v>
      </x:c>
      <x:c r="H13" s="65"/>
    </x:row>
    <x:row r="14" ht="34" customHeight="1">
      <x:c r="A14" s="15" t="str">
        <x:v>Standards/accountability</x:v>
      </x:c>
      <x:c r="B14" s="15" t="n">
        <x:f>COUNTIF('Initiatives Matrix'!$D:$D,A14)</x:f>
        <x:v>7</x:v>
      </x:c>
      <x:c r="C14" s="69" t="n">
        <x:f>B14/$B$6</x:f>
        <x:v>0.1076923076923077</x:v>
      </x:c>
      <x:c r="D14" s="65"/>
      <x:c r="E14" s="15" t="str">
        <x:v>Strong causal evidence</x:v>
      </x:c>
      <x:c r="F14" s="15" t="n">
        <x:f>COUNTIF('Initiatives Matrix'!$I:$I,E14)</x:f>
        <x:v>14</x:v>
      </x:c>
      <x:c r="G14" s="69" t="n">
        <x:f>F14/$B$6</x:f>
        <x:v>0.2153846153846154</x:v>
      </x:c>
      <x:c r="H14" s="65"/>
    </x:row>
    <x:row r="15" ht="34" customHeight="1">
      <x:c r="A15" s="15" t="str">
        <x:v>Literacy</x:v>
      </x:c>
      <x:c r="B15" s="15" t="n">
        <x:f>COUNTIF('Initiatives Matrix'!$D:$D,A15)</x:f>
        <x:v>5</x:v>
      </x:c>
      <x:c r="C15" s="69" t="n">
        <x:f>B15/$B$6</x:f>
        <x:v>0.07692307692307693</x:v>
      </x:c>
      <x:c r="D15" s="65"/>
      <x:c r="E15" s="15" t="str">
        <x:v>Promising causal/quasi</x:v>
      </x:c>
      <x:c r="F15" s="15" t="n">
        <x:f>COUNTIF('Initiatives Matrix'!$I:$I,E15)</x:f>
        <x:v>16</x:v>
      </x:c>
      <x:c r="G15" s="69" t="n">
        <x:f>F15/$B$6</x:f>
        <x:v>0.24615384615384617</x:v>
      </x:c>
      <x:c r="H15" s="65"/>
    </x:row>
    <x:row r="16" ht="34" customHeight="1">
      <x:c r="A16" s="15" t="str">
        <x:v>Curriculum/pedagogy</x:v>
      </x:c>
      <x:c r="B16" s="15" t="n">
        <x:f>COUNTIF('Initiatives Matrix'!$D:$D,A16)</x:f>
        <x:v>5</x:v>
      </x:c>
      <x:c r="C16" s="69" t="n">
        <x:f>B16/$B$6</x:f>
        <x:v>0.07692307692307693</x:v>
      </x:c>
      <x:c r="D16" s="65"/>
      <x:c r="E16" s="15" t="str">
        <x:v>Mixed/conditional</x:v>
      </x:c>
      <x:c r="F16" s="15" t="n">
        <x:f>COUNTIF('Initiatives Matrix'!$I:$I,E16)</x:f>
        <x:v>27</x:v>
      </x:c>
      <x:c r="G16" s="69" t="n">
        <x:f>F16/$B$6</x:f>
        <x:v>0.4153846153846154</x:v>
      </x:c>
      <x:c r="H16" s="65"/>
    </x:row>
    <x:row r="17" ht="34" customHeight="1">
      <x:c r="A17" s="15" t="str">
        <x:v>Teacher workforce</x:v>
      </x:c>
      <x:c r="B17" s="15" t="n">
        <x:f>COUNTIF('Initiatives Matrix'!$D:$D,A17)</x:f>
        <x:v>9</x:v>
      </x:c>
      <x:c r="C17" s="69" t="n">
        <x:f>B17/$B$6</x:f>
        <x:v>0.13846153846153847</x:v>
      </x:c>
      <x:c r="D17" s="65"/>
      <x:c r="E17" s="15" t="str">
        <x:v>Limited/descriptive</x:v>
      </x:c>
      <x:c r="F17" s="15" t="n">
        <x:f>COUNTIF('Initiatives Matrix'!$I:$I,E17)</x:f>
        <x:v>5</x:v>
      </x:c>
      <x:c r="G17" s="69" t="n">
        <x:f>F17/$B$6</x:f>
        <x:v>0.07692307692307693</x:v>
      </x:c>
      <x:c r="H17" s="65"/>
    </x:row>
    <x:row r="18" ht="34" customHeight="1">
      <x:c r="A18" s="15" t="str">
        <x:v>School organization/governance</x:v>
      </x:c>
      <x:c r="B18" s="15" t="n">
        <x:f>COUNTIF('Initiatives Matrix'!$D:$D,A18)</x:f>
        <x:v>3</x:v>
      </x:c>
      <x:c r="C18" s="69" t="n">
        <x:f>B18/$B$6</x:f>
        <x:v>0.046153846153846156</x:v>
      </x:c>
      <x:c r="D18" s="65"/>
      <x:c r="E18" s="15" t="str">
        <x:v>Not an outcome intervention</x:v>
      </x:c>
      <x:c r="F18" s="15" t="n">
        <x:f>COUNTIF('Initiatives Matrix'!$I:$I,E18)</x:f>
        <x:v>3</x:v>
      </x:c>
      <x:c r="G18" s="69" t="n">
        <x:f>F18/$B$6</x:f>
        <x:v>0.046153846153846156</x:v>
      </x:c>
      <x:c r="H18" s="65"/>
    </x:row>
    <x:row r="19" ht="34" customHeight="1">
      <x:c r="A19" s="15" t="str">
        <x:v>Choice</x:v>
      </x:c>
      <x:c r="B19" s="15" t="n">
        <x:f>COUNTIF('Initiatives Matrix'!$D:$D,A19)</x:f>
        <x:v>4</x:v>
      </x:c>
      <x:c r="C19" s="69" t="n">
        <x:f>B19/$B$6</x:f>
        <x:v>0.06153846153846154</x:v>
      </x:c>
      <x:c r="D19" s="65"/>
      <x:c r="E19" s="65"/>
      <x:c r="F19" s="65"/>
      <x:c r="G19" s="65"/>
      <x:c r="H19" s="65"/>
    </x:row>
    <x:row r="20" ht="34" customHeight="1">
      <x:c r="A20" s="15" t="str">
        <x:v>Whole-child/climate</x:v>
      </x:c>
      <x:c r="B20" s="15" t="n">
        <x:f>COUNTIF('Initiatives Matrix'!$D:$D,A20)</x:f>
        <x:v>7</x:v>
      </x:c>
      <x:c r="C20" s="69" t="n">
        <x:f>B20/$B$6</x:f>
        <x:v>0.1076923076923077</x:v>
      </x:c>
      <x:c r="D20" s="65"/>
      <x:c r="E20" s="65"/>
      <x:c r="F20" s="65"/>
      <x:c r="G20" s="65"/>
      <x:c r="H20" s="65"/>
    </x:row>
    <x:row r="21" ht="34" customHeight="1">
      <x:c r="A21" s="15" t="str">
        <x:v>Early childhood</x:v>
      </x:c>
      <x:c r="B21" s="15" t="n">
        <x:f>COUNTIF('Initiatives Matrix'!$D:$D,A21)</x:f>
        <x:v>4</x:v>
      </x:c>
      <x:c r="C21" s="69" t="n">
        <x:f>B21/$B$6</x:f>
        <x:v>0.06153846153846154</x:v>
      </x:c>
      <x:c r="D21" s="65"/>
      <x:c r="E21" s="65"/>
      <x:c r="F21" s="65"/>
      <x:c r="G21" s="65"/>
      <x:c r="H21" s="65"/>
    </x:row>
    <x:row r="22" ht="34" customHeight="1">
      <x:c r="A22" s="15" t="str">
        <x:v>Time/dosage</x:v>
      </x:c>
      <x:c r="B22" s="15" t="n">
        <x:f>COUNTIF('Initiatives Matrix'!$D:$D,A22)</x:f>
        <x:v>6</x:v>
      </x:c>
      <x:c r="C22" s="69" t="n">
        <x:f>B22/$B$6</x:f>
        <x:v>0.09230769230769231</x:v>
      </x:c>
      <x:c r="D22" s="65"/>
      <x:c r="E22" s="65"/>
      <x:c r="F22" s="65"/>
      <x:c r="G22" s="65"/>
      <x:c r="H22" s="65"/>
    </x:row>
    <x:row r="23" ht="34" customHeight="1">
      <x:c r="A23" s="15" t="str">
        <x:v>Technology</x:v>
      </x:c>
      <x:c r="B23" s="15" t="n">
        <x:f>COUNTIF('Initiatives Matrix'!$D:$D,A23)</x:f>
        <x:v>5</x:v>
      </x:c>
      <x:c r="C23" s="69" t="n">
        <x:f>B23/$B$6</x:f>
        <x:v>0.07692307692307693</x:v>
      </x:c>
      <x:c r="D23" s="65"/>
      <x:c r="E23" s="65"/>
      <x:c r="F23" s="65"/>
      <x:c r="G23" s="65"/>
      <x:c r="H23" s="65"/>
    </x:row>
    <x:row r="24" ht="34" customHeight="1">
      <x:c r="A24" s="15" t="str">
        <x:v>Postsecondary/CTE</x:v>
      </x:c>
      <x:c r="B24" s="15" t="n">
        <x:f>COUNTIF('Initiatives Matrix'!$D:$D,A24)</x:f>
        <x:v>6</x:v>
      </x:c>
      <x:c r="C24" s="69" t="n">
        <x:f>B24/$B$6</x:f>
        <x:v>0.09230769230769231</x:v>
      </x:c>
      <x:c r="D24" s="65"/>
      <x:c r="E24" s="65"/>
      <x:c r="F24" s="65"/>
      <x:c r="G24" s="65"/>
      <x:c r="H24" s="65"/>
    </x:row>
    <x:row r="25" ht="34" customHeight="1">
      <x:c r="A25" s="15" t="str">
        <x:v>Finance/recovery</x:v>
      </x:c>
      <x:c r="B25" s="15" t="n">
        <x:f>COUNTIF('Initiatives Matrix'!$D:$D,A25)</x:f>
        <x:v>2</x:v>
      </x:c>
      <x:c r="C25" s="69" t="n">
        <x:f>B25/$B$6</x:f>
        <x:v>0.03076923076923077</x:v>
      </x:c>
      <x:c r="D25" s="65"/>
      <x:c r="E25" s="65"/>
      <x:c r="F25" s="65"/>
      <x:c r="G25" s="65"/>
      <x:c r="H25" s="65"/>
    </x:row>
    <x:row r="26" ht="34" customHeight="1">
      <x:c r="A26" s="15" t="str">
        <x:v>Evidence infrastructure</x:v>
      </x:c>
      <x:c r="B26" s="15" t="n">
        <x:f>COUNTIF('Initiatives Matrix'!$D:$D,A26)</x:f>
        <x:v>2</x:v>
      </x:c>
      <x:c r="C26" s="69" t="n">
        <x:f>B26/$B$6</x:f>
        <x:v>0.03076923076923077</x:v>
      </x:c>
      <x:c r="D26" s="65"/>
      <x:c r="E26" s="65"/>
      <x:c r="F26" s="65"/>
      <x:c r="G26" s="65"/>
      <x:c r="H26" s="65"/>
    </x:row>
    <x:row r="27" ht="34" customHeight="1">
      <x:c r="A27" s="65"/>
      <x:c r="B27" s="65"/>
      <x:c r="C27" s="65"/>
      <x:c r="D27" s="65"/>
      <x:c r="E27" s="65"/>
      <x:c r="F27" s="65"/>
      <x:c r="G27" s="65"/>
      <x:c r="H27" s="65"/>
    </x:row>
    <x:row r="28" ht="34" customHeight="1">
      <x:c r="A28" s="65"/>
      <x:c r="B28" s="65"/>
      <x:c r="C28" s="65"/>
      <x:c r="D28" s="65"/>
      <x:c r="E28" s="65"/>
      <x:c r="F28" s="65"/>
      <x:c r="G28" s="65"/>
      <x:c r="H28" s="65"/>
    </x:row>
    <x:row r="29" ht="34" customHeight="1">
      <x:c r="A29" s="65"/>
      <x:c r="B29" s="65"/>
      <x:c r="C29" s="65"/>
      <x:c r="D29" s="65"/>
      <x:c r="E29" s="65"/>
      <x:c r="F29" s="65"/>
      <x:c r="G29" s="65"/>
      <x:c r="H29" s="65"/>
    </x:row>
    <x:row r="30" ht="34" customHeight="1">
      <x:c r="A30" s="65"/>
      <x:c r="B30" s="65"/>
      <x:c r="C30" s="65"/>
      <x:c r="D30" s="65"/>
      <x:c r="E30" s="65"/>
      <x:c r="F30" s="65"/>
      <x:c r="G30" s="65"/>
      <x:c r="H30" s="65"/>
    </x:row>
    <x:row r="31" ht="34" customHeight="1">
      <x:c r="A31" s="65"/>
      <x:c r="B31" s="65"/>
      <x:c r="C31" s="65"/>
      <x:c r="D31" s="65"/>
      <x:c r="E31" s="65"/>
      <x:c r="F31" s="65"/>
      <x:c r="G31" s="65"/>
      <x:c r="H31" s="65"/>
    </x:row>
    <x:row r="32" ht="34" customHeight="1">
      <x:c r="A32" s="68" t="str">
        <x:v>Evaluation design tag</x:v>
      </x:c>
      <x:c r="B32" s="68" t="str">
        <x:v>Rows mentioning it</x:v>
      </x:c>
      <x:c r="C32" s="68" t="str">
        <x:v>Interpretation</x:v>
      </x:c>
      <x:c r="D32" s="65"/>
      <x:c r="E32" s="68" t="str">
        <x:v>Sheet</x:v>
      </x:c>
      <x:c r="F32" s="68" t="str">
        <x:v>Primary use</x:v>
      </x:c>
      <x:c r="G32" s="68" t="str">
        <x:v>Key fields</x:v>
      </x:c>
      <x:c r="H32" s="68" t="str">
        <x:v>Best first filter</x:v>
      </x:c>
    </x:row>
    <x:row r="33" ht="34" customHeight="1">
      <x:c r="A33" s="15" t="str">
        <x:v>RCT</x:v>
      </x:c>
      <x:c r="B33" s="15" t="n">
        <x:f>COUNTIF('Initiatives Matrix'!$H:$H,"*RCT*")</x:f>
        <x:v>0</x:v>
      </x:c>
      <x:c r="C33" s="15" t="str">
        <x:v>Use as a rough tag count; many rows mention more than one design.</x:v>
      </x:c>
      <x:c r="D33" s="65"/>
      <x:c r="E33" s="15" t="str">
        <x:v>Initiatives Matrix</x:v>
      </x:c>
      <x:c r="F33" s="15" t="str">
        <x:v>Comprehensive policy/program map</x:v>
      </x:c>
      <x:c r="G33" s="15" t="str">
        <x:v>Category; inputs; designs; evidence signal; output metrics</x:v>
      </x:c>
      <x:c r="H33" s="15" t="str">
        <x:v>Evidence signal</x:v>
      </x:c>
    </x:row>
    <x:row r="34" ht="34" customHeight="1">
      <x:c r="A34" s="15" t="str">
        <x:v>Lottery/quasi-experimental</x:v>
      </x:c>
      <x:c r="B34" s="15" t="n">
        <x:f>COUNTIF('Initiatives Matrix'!$H:$H,"*Lottery*")</x:f>
        <x:v>0</x:v>
      </x:c>
      <x:c r="C34" s="15" t="str">
        <x:v>Use as a rough tag count; many rows mention more than one design.</x:v>
      </x:c>
      <x:c r="D34" s="65"/>
      <x:c r="E34" s="15" t="str">
        <x:v>Input Schema</x:v>
      </x:c>
      <x:c r="F34" s="15" t="str">
        <x:v>Normalize reform mechanisms</x:v>
      </x:c>
      <x:c r="G34" s="15" t="str">
        <x:v>Dosage, fidelity, staffing, curriculum, governance, context</x:v>
      </x:c>
      <x:c r="H34" s="15" t="str">
        <x:v>Variable family</x:v>
      </x:c>
    </x:row>
    <x:row r="35" ht="34" customHeight="1">
      <x:c r="A35" s="15" t="str">
        <x:v>Regression discontinuity</x:v>
      </x:c>
      <x:c r="B35" s="15" t="n">
        <x:f>COUNTIF('Initiatives Matrix'!$H:$H,"*Regression*")</x:f>
        <x:v>0</x:v>
      </x:c>
      <x:c r="C35" s="15" t="str">
        <x:v>Use as a rough tag count; many rows mention more than one design.</x:v>
      </x:c>
      <x:c r="D35" s="65"/>
      <x:c r="E35" s="15" t="str">
        <x:v>Output Schema</x:v>
      </x:c>
      <x:c r="F35" s="15" t="str">
        <x:v>Compare outcomes fairly</x:v>
      </x:c>
      <x:c r="G35" s="15" t="str">
        <x:v>Achievement, progression, completion, adult outcomes, cost</x:v>
      </x:c>
      <x:c r="H35" s="15" t="str">
        <x:v>Outcome family</x:v>
      </x:c>
    </x:row>
    <x:row r="36" ht="34" customHeight="1">
      <x:c r="A36" s="15" t="str">
        <x:v>Difference-in-differences/event study</x:v>
      </x:c>
      <x:c r="B36" s="15" t="n">
        <x:f>COUNTIF('Initiatives Matrix'!$H:$H,"*Difference-in-differences*")</x:f>
        <x:v>0</x:v>
      </x:c>
      <x:c r="C36" s="15" t="str">
        <x:v>Use as a rough tag count; many rows mention more than one design.</x:v>
      </x:c>
      <x:c r="D36" s="65"/>
      <x:c r="E36" s="15" t="str">
        <x:v>Dichotomies</x:v>
      </x:c>
      <x:c r="F36" s="15" t="str">
        <x:v>Map philosophical debates</x:v>
      </x:c>
      <x:c r="G36" s="15" t="str">
        <x:v>Poles, disagreement, evidence, better question</x:v>
      </x:c>
      <x:c r="H36" s="15" t="str">
        <x:v>Dichotomy</x:v>
      </x:c>
    </x:row>
    <x:row r="37" ht="34" customHeight="1">
      <x:c r="A37" s="15" t="str">
        <x:v>Matched comparison/value-added</x:v>
      </x:c>
      <x:c r="B37" s="15" t="n">
        <x:f>COUNTIF('Initiatives Matrix'!$H:$H,"*Matched*")</x:f>
        <x:v>0</x:v>
      </x:c>
      <x:c r="C37" s="15" t="str">
        <x:v>Use as a rough tag count; many rows mention more than one design.</x:v>
      </x:c>
      <x:c r="D37" s="65"/>
      <x:c r="E37" s="15" t="str">
        <x:v>Sources &amp; Methods</x:v>
      </x:c>
      <x:c r="F37" s="15" t="str">
        <x:v>Evidence legend and methods</x:v>
      </x:c>
      <x:c r="G37" s="15" t="str">
        <x:v>Design glossary, normalization terms, core sources</x:v>
      </x:c>
      <x:c r="H37" s="15" t="str">
        <x:v>Section</x:v>
      </x:c>
    </x:row>
    <x:row r="38" ht="34" customHeight="1">
      <x:c r="A38" s="15" t="str">
        <x:v>Meta-analysis/systematic review</x:v>
      </x:c>
      <x:c r="B38" s="15" t="n">
        <x:f>COUNTIF('Initiatives Matrix'!$H:$H,"*Meta-analysis*")</x:f>
        <x:v>0</x:v>
      </x:c>
      <x:c r="C38" s="15" t="str">
        <x:v>Use as a rough tag count; many rows mention more than one design.</x:v>
      </x:c>
      <x:c r="D38" s="65"/>
      <x:c r="E38" s="65"/>
      <x:c r="F38" s="65"/>
      <x:c r="G38" s="65"/>
      <x:c r="H38" s="65"/>
    </x:row>
    <x:row r="39" ht="34" customHeight="1">
      <x:c r="A39" s="15" t="str">
        <x:v>Descriptive/implementation study</x:v>
      </x:c>
      <x:c r="B39" s="15" t="n">
        <x:f>COUNTIF('Initiatives Matrix'!$H:$H,"*Descriptive*")</x:f>
        <x:v>0</x:v>
      </x:c>
      <x:c r="C39" s="15" t="str">
        <x:v>Use as a rough tag count; many rows mention more than one design.</x:v>
      </x:c>
      <x:c r="D39" s="65"/>
      <x:c r="E39" s="65"/>
      <x:c r="F39" s="65"/>
      <x:c r="G39" s="65"/>
      <x:c r="H39" s="65"/>
    </x:row>
    <x:row r="40" ht="34" customHeight="1">
      <x:c r="A40" s="15" t="str">
        <x:v>Trend/NAEP/state panel</x:v>
      </x:c>
      <x:c r="B40" s="15" t="n">
        <x:f>COUNTIF('Initiatives Matrix'!$H:$H,"*Trend*")</x:f>
        <x:v>0</x:v>
      </x:c>
      <x:c r="C40" s="15" t="str">
        <x:v>Use as a rough tag count; many rows mention more than one design.</x:v>
      </x:c>
      <x:c r="D40" s="65"/>
      <x:c r="E40" s="65"/>
      <x:c r="F40" s="65"/>
      <x:c r="G40" s="65"/>
      <x:c r="H40" s="65"/>
    </x:row>
    <x:row r="41" ht="34" customHeight="1">
      <x:c r="A41" s="65"/>
      <x:c r="B41" s="65"/>
      <x:c r="C41" s="65"/>
      <x:c r="D41" s="65"/>
      <x:c r="E41" s="65"/>
      <x:c r="F41" s="65"/>
      <x:c r="G41" s="65"/>
      <x:c r="H41" s="65"/>
    </x:row>
    <x:row r="42" ht="34" customHeight="1">
      <x:c r="A42" s="65"/>
      <x:c r="B42" s="65"/>
      <x:c r="C42" s="65"/>
      <x:c r="D42" s="65"/>
      <x:c r="E42" s="65"/>
      <x:c r="F42" s="65"/>
      <x:c r="G42" s="65"/>
      <x:c r="H42" s="65"/>
    </x:row>
    <x:row r="43" ht="34" customHeight="1">
      <x:c r="A43" s="65"/>
      <x:c r="B43" s="65"/>
      <x:c r="C43" s="65"/>
      <x:c r="D43" s="65"/>
      <x:c r="E43" s="65"/>
      <x:c r="F43" s="65"/>
      <x:c r="G43" s="65"/>
      <x:c r="H43" s="65"/>
    </x:row>
    <x:row r="44" ht="34" customHeight="1">
      <x:c r="A44" s="65"/>
      <x:c r="B44" s="65"/>
      <x:c r="C44" s="65"/>
      <x:c r="D44" s="65"/>
      <x:c r="E44" s="65"/>
      <x:c r="F44" s="65"/>
      <x:c r="G44" s="65"/>
      <x:c r="H44" s="65"/>
    </x:row>
    <x:row r="45" ht="34" customHeight="1">
      <x:c r="A45" s="65"/>
      <x:c r="B45" s="65"/>
      <x:c r="C45" s="65"/>
      <x:c r="D45" s="65"/>
      <x:c r="E45" s="65"/>
      <x:c r="F45" s="65"/>
      <x:c r="G45" s="65"/>
      <x:c r="H45" s="65"/>
    </x:row>
    <x:row r="46" ht="34" customHeight="1">
      <x:c r="A46" s="65"/>
      <x:c r="B46" s="65"/>
      <x:c r="C46" s="65"/>
      <x:c r="D46" s="65"/>
      <x:c r="E46" s="65"/>
      <x:c r="F46" s="65"/>
      <x:c r="G46" s="65"/>
      <x:c r="H46" s="65"/>
    </x:row>
    <x:row r="47" ht="34" customHeight="1">
      <x:c r="A47" s="65"/>
      <x:c r="B47" s="65"/>
      <x:c r="C47" s="65"/>
      <x:c r="D47" s="65"/>
      <x:c r="E47" s="65"/>
      <x:c r="F47" s="65"/>
      <x:c r="G47" s="65"/>
      <x:c r="H47" s="65"/>
    </x:row>
    <x:row r="48" ht="34" customHeight="1">
      <x:c r="A48" s="65"/>
      <x:c r="B48" s="65"/>
      <x:c r="C48" s="65"/>
      <x:c r="D48" s="65"/>
      <x:c r="E48" s="65"/>
      <x:c r="F48" s="65"/>
      <x:c r="G48" s="65"/>
      <x:c r="H48" s="65"/>
    </x:row>
    <x:row r="49" ht="34" customHeight="1">
      <x:c r="A49" s="65"/>
      <x:c r="B49" s="65"/>
      <x:c r="C49" s="65"/>
      <x:c r="D49" s="65"/>
      <x:c r="E49" s="65"/>
      <x:c r="F49" s="65"/>
      <x:c r="G49" s="65"/>
      <x:c r="H49" s="65"/>
    </x:row>
    <x:row r="50" ht="34" customHeight="1">
      <x:c r="A50" s="65"/>
      <x:c r="B50" s="65"/>
      <x:c r="C50" s="65"/>
      <x:c r="D50" s="65"/>
      <x:c r="E50" s="65"/>
      <x:c r="F50" s="65"/>
      <x:c r="G50" s="65"/>
      <x:c r="H50" s="65"/>
    </x:row>
  </x:sheetData>
  <x:mergeCells>
    <x:mergeCell ref="A1:H1"/>
  </x:mergeCells>
  <x:conditionalFormatting sqref="B14:B26">
    <x:cfRule type="dataBar" priority="1">
      <x:dataBar>
        <x:cfvo type="min"/>
        <x:cfvo type="max"/>
        <x:color rgb="FF60A5FA"/>
      </x:dataBar>
      <x:extLst>
        <x:ext xmlns:x14="http://schemas.microsoft.com/office/spreadsheetml/2009/9/main" uri="{B025F937-C7B1-47D3-B67F-A62EFF666E3E}">
          <x14:id>{E5D2A047-4238-8741-E2B3-85669B88D1C8}</x14:id>
        </x:ext>
      </x:extLst>
    </x:cfRule>
  </x:conditionalFormatting>
  <x:conditionalFormatting sqref="F14:F18">
    <x:cfRule type="dataBar" priority="2">
      <x:dataBar>
        <x:cfvo type="min"/>
        <x:cfvo type="max"/>
        <x:color rgb="FF34D399"/>
      </x:dataBar>
      <x:extLst>
        <x:ext xmlns:x14="http://schemas.microsoft.com/office/spreadsheetml/2009/9/main" uri="{B025F937-C7B1-47D3-B67F-A62EFF666E3E}">
          <x14:id>{169BE573-5479-287D-BE93-74B15E11EBFA}</x14:id>
        </x:ext>
      </x:extLst>
    </x:cfRule>
  </x:conditionalFormatting>
  <x:conditionalFormatting sqref="B33:B40">
    <x:cfRule type="dataBar" priority="3">
      <x:dataBar>
        <x:cfvo type="min"/>
        <x:cfvo type="max"/>
        <x:color rgb="FFF59E0B"/>
      </x:dataBar>
      <x:extLst>
        <x:ext xmlns:x14="http://schemas.microsoft.com/office/spreadsheetml/2009/9/main" uri="{B025F937-C7B1-47D3-B67F-A62EFF666E3E}">
          <x14:id>{C5593AA7-0028-5BEA-E3E0-8178783C1A47}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ed456fdee8974086"/>
  <x:tableParts count="4">
    <x:tablePart xmlns:r="http://schemas.openxmlformats.org/officeDocument/2006/relationships" r:id="Rafaf2f88376c48b2"/>
    <x:tablePart xmlns:r="http://schemas.openxmlformats.org/officeDocument/2006/relationships" r:id="R4ffbe322a7d3477b"/>
    <x:tablePart xmlns:r="http://schemas.openxmlformats.org/officeDocument/2006/relationships" r:id="R723d99b7ed4c4e63"/>
    <x:tablePart xmlns:r="http://schemas.openxmlformats.org/officeDocument/2006/relationships" r:id="R3bc5fbe6edae477b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E5D2A047-4238-8741-E2B3-85669B88D1C8}">
            <x14:dataBar gradient="1">
              <x14:cfvo type="min"/>
              <x14:cfvo type="max"/>
              <x14:fillColor rgb="FF60A5FA"/>
            </x14:dataBar>
          </x14:cfRule>
          <xm:sqref>B14:B26</xm:sqref>
        </x14:conditionalFormatting>
        <x14:conditionalFormatting>
          <x14:cfRule type="dataBar" priority="2" id="{169BE573-5479-287D-BE93-74B15E11EBFA}">
            <x14:dataBar gradient="1">
              <x14:cfvo type="min"/>
              <x14:cfvo type="max"/>
              <x14:fillColor rgb="FF34D399"/>
            </x14:dataBar>
          </x14:cfRule>
          <xm:sqref>F14:F18</xm:sqref>
        </x14:conditionalFormatting>
        <x14:conditionalFormatting>
          <x14:cfRule type="dataBar" priority="3" id="{C5593AA7-0028-5BEA-E3E0-8178783C1A47}">
            <x14:dataBar gradient="1">
              <x14:cfvo type="min"/>
              <x14:cfvo type="max"/>
              <x14:fillColor rgb="FFF59E0B"/>
            </x14:dataBar>
          </x14:cfRule>
          <xm:sqref>B33:B40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34" hidden="0" customWidth="1"/>
    <x:col min="3" max="3" width="18" hidden="0" customWidth="1"/>
    <x:col min="4" max="4" width="24" hidden="0" customWidth="1"/>
    <x:col min="5" max="5" width="40" hidden="0" customWidth="1"/>
    <x:col min="6" max="6" width="42" hidden="0" customWidth="1"/>
    <x:col min="7" max="7" width="28" hidden="0" customWidth="1"/>
    <x:col min="8" max="8" width="30" hidden="0" customWidth="1"/>
    <x:col min="9" max="9" width="22" hidden="0" customWidth="1"/>
    <x:col min="10" max="10" width="34" hidden="0" customWidth="1"/>
    <x:col min="11" max="11" width="42" hidden="0" customWidth="1"/>
    <x:col min="12" max="12" width="44" hidden="0" customWidth="1"/>
    <x:col min="13" max="13" width="52" hidden="0" customWidth="1"/>
    <x:col min="14" max="14" width="22" hidden="0" customWidth="1"/>
  </x:cols>
  <x:sheetData>
    <x:row r="1" ht="34" customHeight="1">
      <x:c r="A1" s="14" t="str">
        <x:v>ID</x:v>
      </x:c>
      <x:c r="B1" s="14" t="str">
        <x:v>Initiative / program / policy</x:v>
      </x:c>
      <x:c r="C1" s="14" t="str">
        <x:v>Years / scale</x:v>
      </x:c>
      <x:c r="D1" s="14" t="str">
        <x:v>Category</x:v>
      </x:c>
      <x:c r="E1" s="14" t="str">
        <x:v>Core theory of action</x:v>
      </x:c>
      <x:c r="F1" s="14" t="str">
        <x:v>Input variables changed</x:v>
      </x:c>
      <x:c r="G1" s="14" t="str">
        <x:v>Target population / setting</x:v>
      </x:c>
      <x:c r="H1" s="14" t="str">
        <x:v>Common evaluation designs</x:v>
      </x:c>
      <x:c r="I1" s="14" t="str">
        <x:v>Evidence signal</x:v>
      </x:c>
      <x:c r="J1" s="14" t="str">
        <x:v>Outputs measured</x:v>
      </x:c>
      <x:c r="K1" s="14" t="str">
        <x:v>Fair comparison / normalization issues</x:v>
      </x:c>
      <x:c r="L1" s="14" t="str">
        <x:v>One-line finding</x:v>
      </x:c>
      <x:c r="M1" s="14" t="str">
        <x:v>Source URLs</x:v>
      </x:c>
      <x:c r="N1" s="14" t="str">
        <x:v>Tags</x:v>
      </x:c>
    </x:row>
    <x:row r="2" ht="74" customHeight="1">
      <x:c r="A2" s="15" t="n">
        <x:v>1</x:v>
      </x:c>
      <x:c r="B2" s="15" t="str">
        <x:v>A Nation at Risk / modern standards movement</x:v>
      </x:c>
      <x:c r="C2" s="15" t="str">
        <x:v>1983 onward; national agenda</x:v>
      </x:c>
      <x:c r="D2" s="15" t="str">
        <x:v>Standards/accountability</x:v>
      </x:c>
      <x:c r="E2" s="15" t="str">
        <x:v>Raise expectations by making academic standards, assessment, and public accountability central to schooling.</x:v>
      </x:c>
      <x:c r="F2" s="15" t="str">
        <x:v>State standards, graduation requirements, public reporting, assessment emphasis</x:v>
      </x:c>
      <x:c r="G2" s="15" t="str">
        <x:v>K-12 systems</x:v>
      </x:c>
      <x:c r="H2" s="15" t="str">
        <x:v>Historical synthesis; state trend evidence</x:v>
      </x:c>
      <x:c r="I2" s="15" t="str">
        <x:v>Limited/descriptive</x:v>
      </x:c>
      <x:c r="J2" s="15" t="str">
        <x:v>NAEP, state tests, graduation requirements</x:v>
      </x:c>
      <x:c r="K2" s="15" t="str">
        <x:v>Hard to isolate from demographic, fiscal, and accountability changes that followed.</x:v>
      </x:c>
      <x:c r="L2" s="15" t="str">
        <x:v>Important agenda-setting reform, but not a discrete intervention with clean causal estimates.</x:v>
      </x:c>
      <x:c r="M2" s="15" t="str">
        <x:v>https://nces.ed.gov/nationsreportcard/; https://ies.ed.gov/ncee/wwc/</x:v>
      </x:c>
      <x:c r="N2" s="15" t="str">
        <x:v>standards; history</x:v>
      </x:c>
    </x:row>
    <x:row r="3" ht="74" customHeight="1">
      <x:c r="A3" s="15" t="n">
        <x:v>2</x:v>
      </x:c>
      <x:c r="B3" s="15" t="str">
        <x:v>Goals 2000 / standards-based reform</x:v>
      </x:c>
      <x:c r="C3" s="15" t="str">
        <x:v>1994 onward; federal-state</x:v>
      </x:c>
      <x:c r="D3" s="15" t="str">
        <x:v>Standards/accountability</x:v>
      </x:c>
      <x:c r="E3" s="15" t="str">
        <x:v>Encourage states to define rigorous goals and align curricula and assessments.</x:v>
      </x:c>
      <x:c r="F3" s="15" t="str">
        <x:v>Standards adoption, planning grants, assessment alignment</x:v>
      </x:c>
      <x:c r="G3" s="15" t="str">
        <x:v>States and districts</x:v>
      </x:c>
      <x:c r="H3" s="15" t="str">
        <x:v>Historical/descriptive; state panel comparisons</x:v>
      </x:c>
      <x:c r="I3" s="15" t="str">
        <x:v>Limited/descriptive</x:v>
      </x:c>
      <x:c r="J3" s="15" t="str">
        <x:v>State assessments, NAEP, graduation</x:v>
      </x:c>
      <x:c r="K3" s="15" t="str">
        <x:v>State standards differed widely; implementation and assessment quality varied.</x:v>
      </x:c>
      <x:c r="L3" s="15" t="str">
        <x:v>Helped institutionalize standards-based reform but evidence is mostly indirect.</x:v>
      </x:c>
      <x:c r="M3" s="15" t="str">
        <x:v>https://nces.ed.gov/nationsreportcard/; https://ies.ed.gov/ncee/wwc/</x:v>
      </x:c>
      <x:c r="N3" s="15" t="str">
        <x:v>standards; federal</x:v>
      </x:c>
    </x:row>
    <x:row r="4" ht="74" customHeight="1">
      <x:c r="A4" s="15" t="n">
        <x:v>3</x:v>
      </x:c>
      <x:c r="B4" s="15" t="str">
        <x:v>State test-based accountability before NCLB</x:v>
      </x:c>
      <x:c r="C4" s="15" t="str">
        <x:v>1990s-early 2000s; state systems</x:v>
      </x:c>
      <x:c r="D4" s="15" t="str">
        <x:v>Standards/accountability</x:v>
      </x:c>
      <x:c r="E4" s="15" t="str">
        <x:v>Use public test results and consequences to focus schools on achievement.</x:v>
      </x:c>
      <x:c r="F4" s="15" t="str">
        <x:v>Test frequency, rating systems, sanctions/rewards, proficiency thresholds</x:v>
      </x:c>
      <x:c r="G4" s="15" t="str">
        <x:v>Schools and districts</x:v>
      </x:c>
      <x:c r="H4" s="15" t="str">
        <x:v>State panel, NAEP trend, difference-in-differences</x:v>
      </x:c>
      <x:c r="I4" s="15" t="str">
        <x:v>Mixed/conditional</x:v>
      </x:c>
      <x:c r="J4" s="15" t="str">
        <x:v>NAEP math/reading, state proficiency, gaps</x:v>
      </x:c>
      <x:c r="K4" s="15" t="str">
        <x:v>Researchers use NAEP to avoid state test inflation, but cross-state accountability intensity is hard to code.</x:v>
      </x:c>
      <x:c r="L4" s="15" t="str">
        <x:v>Pre-NCLB accountability often raised measured math achievement more than reading, with risks of narrowing and gaming.</x:v>
      </x:c>
      <x:c r="M4" s="15" t="str">
        <x:v>https://www.nber.org/papers/w15531; https://nces.ed.gov/nationsreportcard/</x:v>
      </x:c>
      <x:c r="N4" s="15" t="str">
        <x:v>accountability; testing</x:v>
      </x:c>
    </x:row>
    <x:row r="5" ht="74" customHeight="1">
      <x:c r="A5" s="15" t="n">
        <x:v>4</x:v>
      </x:c>
      <x:c r="B5" s="15" t="str">
        <x:v>No Child Left Behind</x:v>
      </x:c>
      <x:c r="C5" s="15" t="str">
        <x:v>2002-2015; federal</x:v>
      </x:c>
      <x:c r="D5" s="15" t="str">
        <x:v>Standards/accountability</x:v>
      </x:c>
      <x:c r="E5" s="15" t="str">
        <x:v>Annual testing, subgroup reporting, and sanctions should pressure schools to improve proficiency for all groups.</x:v>
      </x:c>
      <x:c r="F5" s="15" t="str">
        <x:v>Annual grades 3-8 testing, AYP targets, sanctions, public reporting, subgroup accountability</x:v>
      </x:c>
      <x:c r="G5" s="15" t="str">
        <x:v>All public schools receiving federal funds</x:v>
      </x:c>
      <x:c r="H5" s="15" t="str">
        <x:v>NAEP state panel; event study; state accountability comparisons</x:v>
      </x:c>
      <x:c r="I5" s="15" t="str">
        <x:v>Mixed/conditional</x:v>
      </x:c>
      <x:c r="J5" s="15" t="str">
        <x:v>NAEP scale scores, state proficiency, subgroup gaps</x:v>
      </x:c>
      <x:c r="K5" s="15" t="str">
        <x:v>Best comparisons use NAEP rather than state tests because state cut scores and test stakes changed.</x:v>
      </x:c>
      <x:c r="L5" s="15" t="str">
        <x:v>Evidence points to some math gains, weaker reading effects, and substantial incentives to narrow curriculum or game thresholds.</x:v>
      </x:c>
      <x:c r="M5" s="15" t="str">
        <x:v>https://www.nber.org/papers/w15531; https://nces.ed.gov/nationsreportcard/</x:v>
      </x:c>
      <x:c r="N5" s="15" t="str">
        <x:v>accountability; NCLB</x:v>
      </x:c>
    </x:row>
    <x:row r="6" ht="74" customHeight="1">
      <x:c r="A6" s="15" t="n">
        <x:v>5</x:v>
      </x:c>
      <x:c r="B6" s="15" t="str">
        <x:v>Race to the Top</x:v>
      </x:c>
      <x:c r="C6" s="15" t="str">
        <x:v>2009-2017; federal competitive grants</x:v>
      </x:c>
      <x:c r="D6" s="15" t="str">
        <x:v>Standards/accountability</x:v>
      </x:c>
      <x:c r="E6" s="15" t="str">
        <x:v>Competitive funding would induce states to adopt coherent reforms in standards, data, teacher evaluation, and turnaround.</x:v>
      </x:c>
      <x:c r="F6" s="15" t="str">
        <x:v>Grant dollars, Common Core incentives, data systems, teacher evaluation, turnaround plans</x:v>
      </x:c>
      <x:c r="G6" s="15" t="str">
        <x:v>States</x:v>
      </x:c>
      <x:c r="H6" s="15" t="str">
        <x:v>State comparisons; policy implementation surveys; achievement trend analysis</x:v>
      </x:c>
      <x:c r="I6" s="15" t="str">
        <x:v>Mixed/conditional</x:v>
      </x:c>
      <x:c r="J6" s="15" t="str">
        <x:v>NAEP, state tests, policy adoption, teacher evaluation implementation</x:v>
      </x:c>
      <x:c r="K6" s="15" t="str">
        <x:v>Winners differed from non-winners before grants; reforms were bundled and adoption was political.</x:v>
      </x:c>
      <x:c r="L6" s="15" t="str">
        <x:v>Large policy adoption effects; achievement effects were not consistently strong or easy to attribute.</x:v>
      </x:c>
      <x:c r="M6" s="15" t="str">
        <x:v>https://www.mathematica.org/news/rtt-evaluation; https://www.rand.org/pubs/research_reports/RR2658.html</x:v>
      </x:c>
      <x:c r="N6" s="15" t="str">
        <x:v>federal grants; state reform</x:v>
      </x:c>
    </x:row>
    <x:row r="7" ht="74" customHeight="1">
      <x:c r="A7" s="15" t="n">
        <x:v>6</x:v>
      </x:c>
      <x:c r="B7" s="15" t="str">
        <x:v>School Improvement Grants</x:v>
      </x:c>
      <x:c r="C7" s="15" t="str">
        <x:v>2009-2016 major ARRA expansion; federal/state</x:v>
      </x:c>
      <x:c r="D7" s="15" t="str">
        <x:v>Standards/accountability</x:v>
      </x:c>
      <x:c r="E7" s="15" t="str">
        <x:v>Concentrated funds and prescribed turnaround models should change the lowest-performing schools quickly.</x:v>
      </x:c>
      <x:c r="F7" s="15" t="str">
        <x:v>Turnaround, transformation, restart, closure models; leadership changes; staffing; extended time</x:v>
      </x:c>
      <x:c r="G7" s="15" t="str">
        <x:v>Lowest-performing schools</x:v>
      </x:c>
      <x:c r="H7" s="15" t="str">
        <x:v>Regression discontinuity; implementation study</x:v>
      </x:c>
      <x:c r="I7" s="15" t="str">
        <x:v>Mixed/conditional</x:v>
      </x:c>
      <x:c r="J7" s="15" t="str">
        <x:v>State test scores, graduation, school practices</x:v>
      </x:c>
      <x:c r="K7" s="15" t="str">
        <x:v>Cutoff-based RD compares schools near eligibility thresholds, not all low-performing schools.</x:v>
      </x:c>
      <x:c r="L7" s="15" t="str">
        <x:v>The national evaluation found weak average impacts despite large funding; implementation and model quality varied.</x:v>
      </x:c>
      <x:c r="M7" s="15" t="str">
        <x:v>https://ies.ed.gov/use-work/resource-library/report/evaluation-report/school-improvement-grants-implementation-and-effectiveness</x:v>
      </x:c>
      <x:c r="N7" s="15" t="str">
        <x:v>turnaround; federal grants</x:v>
      </x:c>
    </x:row>
    <x:row r="8" ht="74" customHeight="1">
      <x:c r="A8" s="15" t="n">
        <x:v>7</x:v>
      </x:c>
      <x:c r="B8" s="15" t="str">
        <x:v>ESSA evidence tiers and evidence-based intervention requirements</x:v>
      </x:c>
      <x:c r="C8" s="15" t="str">
        <x:v>2015 onward; federal framework</x:v>
      </x:c>
      <x:c r="D8" s="15" t="str">
        <x:v>Evidence infrastructure</x:v>
      </x:c>
      <x:c r="E8" s="15" t="str">
        <x:v>Classify and encourage use of interventions backed by rigorous evidence.</x:v>
      </x:c>
      <x:c r="F8" s="15" t="str">
        <x:v>Evidence tier rules, grant requirements, intervention review standards</x:v>
      </x:c>
      <x:c r="G8" s="15" t="str">
        <x:v>States, districts, schools</x:v>
      </x:c>
      <x:c r="H8" s="15" t="str">
        <x:v>Evidence standards framework</x:v>
      </x:c>
      <x:c r="I8" s="15" t="str">
        <x:v>Not an outcome intervention</x:v>
      </x:c>
      <x:c r="J8" s="15" t="str">
        <x:v>Evidence tiers, study quality, implementation plans</x:v>
      </x:c>
      <x:c r="K8" s="15" t="str">
        <x:v>Tiers are about evidence strength, not guaranteed local effect; external validity still matters.</x:v>
      </x:c>
      <x:c r="L8" s="15" t="str">
        <x:v>Useful infrastructure for comparing studies, but it does not itself improve learning without good implementation.</x:v>
      </x:c>
      <x:c r="M8" s="15" t="str">
        <x:v>https://ies.ed.gov/ncee/wwc/essa; https://ies.ed.gov/ncee/wwc/; https://ies.ed.gov/ncee/wwc/Handbooks</x:v>
      </x:c>
      <x:c r="N8" s="15" t="str">
        <x:v>evidence tiers; ESSA</x:v>
      </x:c>
    </x:row>
    <x:row r="9" ht="74" customHeight="1">
      <x:c r="A9" s="15" t="n">
        <x:v>8</x:v>
      </x:c>
      <x:c r="B9" s="15" t="str">
        <x:v>Common Core State Standards and aligned assessments</x:v>
      </x:c>
      <x:c r="C9" s="15" t="str">
        <x:v>2010s; multi-state</x:v>
      </x:c>
      <x:c r="D9" s="15" t="str">
        <x:v>Standards/accountability</x:v>
      </x:c>
      <x:c r="E9" s="15" t="str">
        <x:v>Common, higher standards and aligned tests should make expectations clearer and improve college readiness.</x:v>
      </x:c>
      <x:c r="F9" s="15" t="str">
        <x:v>ELA/math standards, test alignment, teacher guidance, curriculum shifts</x:v>
      </x:c>
      <x:c r="G9" s="15" t="str">
        <x:v>States, districts, grades K-12</x:v>
      </x:c>
      <x:c r="H9" s="15" t="str">
        <x:v>Implementation studies; teacher panels; state trend analysis; C-SAIL design</x:v>
      </x:c>
      <x:c r="I9" s="15" t="str">
        <x:v>Mixed/conditional</x:v>
      </x:c>
      <x:c r="J9" s="15" t="str">
        <x:v>NAEP, state tests, teacher knowledge/practice, assessment alignment</x:v>
      </x:c>
      <x:c r="K9" s="15" t="str">
        <x:v>Adoption timing overlaps with recession, NCLB waivers, RTT, assessment changes, and local curriculum decisions.</x:v>
      </x:c>
      <x:c r="L9" s="15" t="str">
        <x:v>Implementation was uneven; evidence does not support the idea that standards alone generate large achievement gains.</x:v>
      </x:c>
      <x:c r="M9" s="15" t="str">
        <x:v>https://www.rand.org/pubs/research_reports/RR2658.html; https://www.c-sail.org/research/implementation</x:v>
      </x:c>
      <x:c r="N9" s="15" t="str">
        <x:v>Common Core; standards</x:v>
      </x:c>
    </x:row>
    <x:row r="10" ht="74" customHeight="1">
      <x:c r="A10" s="15" t="n">
        <x:v>9</x:v>
      </x:c>
      <x:c r="B10" s="15" t="str">
        <x:v>Mississippi Literacy-Based Promotion Act / 'Mississippi miracle'</x:v>
      </x:c>
      <x:c r="C10" s="15" t="str">
        <x:v>2013 onward; state</x:v>
      </x:c>
      <x:c r="D10" s="15" t="str">
        <x:v>Literacy</x:v>
      </x:c>
      <x:c r="E10" s="15" t="str">
        <x:v>Pair early screening, teacher training, coaching, interventions, and third-grade promotion rules to improve early reading.</x:v>
      </x:c>
      <x:c r="F10" s="15" t="str">
        <x:v>K-3 literacy instruction, phonics emphasis, reading coaches, intervention plans, retention/promotion threshold</x:v>
      </x:c>
      <x:c r="G10" s="15" t="str">
        <x:v>Mississippi K-3 students and educators</x:v>
      </x:c>
      <x:c r="H10" s="15" t="str">
        <x:v>State trends; NAEP comparison; RD/quasi evidence on retention</x:v>
      </x:c>
      <x:c r="I10" s="15" t="str">
        <x:v>Promising causal/quasi</x:v>
      </x:c>
      <x:c r="J10" s="15" t="str">
        <x:v>Third-grade reading pass rates, NAEP grade 4 reading, state ELA, retention and exemptions</x:v>
      </x:c>
      <x:c r="K10" s="15" t="str">
        <x:v>NAEP gains are state-level and bundled; retention changes who appears in grade 4, so researchers analyze both policy components and cohort composition.</x:v>
      </x:c>
      <x:c r="L10" s="15" t="str">
        <x:v>Mississippi is one of the most cited recent literacy success cases, but the causal mechanism is a policy bundle rather than one isolated program.</x:v>
      </x:c>
      <x:c r="M10" s="15" t="str">
        <x:v>https://www.mdek12.org/literacy/lbpa/; https://www.mississippifirst.org/literacy-series-part-1/; https://nces.ed.gov/nationsreportcard/subject/publications/stt2022/pdf/2023010MS4.pdf; https://wheelockpolicycenter.org/high-quality-education/ms-read-by-grade-three/</x:v>
      </x:c>
      <x:c r="N10" s="15" t="str">
        <x:v>literacy; phonics; retention; state policy</x:v>
      </x:c>
    </x:row>
    <x:row r="11" ht="74" customHeight="1">
      <x:c r="A11" s="15" t="n">
        <x:v>10</x:v>
      </x:c>
      <x:c r="B11" s="15" t="str">
        <x:v>Science of Reading state policy wave</x:v>
      </x:c>
      <x:c r="C11" s="15" t="str">
        <x:v>2019 onward; many states</x:v>
      </x:c>
      <x:c r="D11" s="15" t="str">
        <x:v>Literacy</x:v>
      </x:c>
      <x:c r="E11" s="15" t="str">
        <x:v>Move teacher preparation and classroom practice toward explicit, systematic instruction in foundational reading skills plus language comprehension.</x:v>
      </x:c>
      <x:c r="F11" s="15" t="str">
        <x:v>Teacher prep standards, licensure tests, curriculum bans/approvals, coaching, screeners</x:v>
      </x:c>
      <x:c r="G11" s="15" t="str">
        <x:v>K-5 literacy teachers and students</x:v>
      </x:c>
      <x:c r="H11" s="15" t="str">
        <x:v>Implementation studies; state trend comparisons; emerging causal work</x:v>
      </x:c>
      <x:c r="I11" s="15" t="str">
        <x:v>Limited/descriptive</x:v>
      </x:c>
      <x:c r="J11" s="15" t="str">
        <x:v>Screeners, state reading scores, NAEP, curriculum adoption, teacher knowledge</x:v>
      </x:c>
      <x:c r="K11" s="15" t="str">
        <x:v>Policies differ in what they mandate; teacher knowledge and classroom fidelity are not the same as law passage.</x:v>
      </x:c>
      <x:c r="L11" s="15" t="str">
        <x:v>Highly influential and evidence-aligned in direction, but cross-state causal estimates are still emerging.</x:v>
      </x:c>
      <x:c r="M11" s="15" t="str">
        <x:v>https://www.nichd.nih.gov/publications/pubs/nrp/findings; https://www.mdek12.org/literacy/lbpa/; https://ies.ed.gov/use-work/resource-library/report/evaluation-report/reading-first-impact-study-final-report</x:v>
      </x:c>
      <x:c r="N11" s="15" t="str">
        <x:v>science of reading; teacher prep</x:v>
      </x:c>
    </x:row>
    <x:row r="12" ht="74" customHeight="1">
      <x:c r="A12" s="15" t="n">
        <x:v>11</x:v>
      </x:c>
      <x:c r="B12" s="15" t="str">
        <x:v>National Reading Panel synthesis</x:v>
      </x:c>
      <x:c r="C12" s="15" t="str">
        <x:v>2000; federal evidence review</x:v>
      </x:c>
      <x:c r="D12" s="15" t="str">
        <x:v>Evidence infrastructure</x:v>
      </x:c>
      <x:c r="E12" s="15" t="str">
        <x:v>Identify components of reading instruction with experimental or quasi-experimental support.</x:v>
      </x:c>
      <x:c r="F12" s="15" t="str">
        <x:v>Evidence review of phonemic awareness, phonics, fluency, vocabulary, comprehension</x:v>
      </x:c>
      <x:c r="G12" s="15" t="str">
        <x:v>Reading researchers, policymakers, educators</x:v>
      </x:c>
      <x:c r="H12" s="15" t="str">
        <x:v>Systematic evidence review</x:v>
      </x:c>
      <x:c r="I12" s="15" t="str">
        <x:v>Not an outcome intervention</x:v>
      </x:c>
      <x:c r="J12" s="15" t="str">
        <x:v>Effect sizes by reading domain</x:v>
      </x:c>
      <x:c r="K12" s="15" t="str">
        <x:v>The review synthesized studies rather than evaluating a single program; later policies sometimes oversimplified the findings.</x:v>
      </x:c>
      <x:c r="L12" s="15" t="str">
        <x:v>It became the foundation for much of the phonics/science-of-reading policy debate.</x:v>
      </x:c>
      <x:c r="M12" s="15" t="str">
        <x:v>https://www.nichd.nih.gov/publications/pubs/nrp/findings</x:v>
      </x:c>
      <x:c r="N12" s="15" t="str">
        <x:v>reading research; evidence review</x:v>
      </x:c>
    </x:row>
    <x:row r="13" ht="74" customHeight="1">
      <x:c r="A13" s="15" t="n">
        <x:v>12</x:v>
      </x:c>
      <x:c r="B13" s="15" t="str">
        <x:v>Reading First</x:v>
      </x:c>
      <x:c r="C13" s="15" t="str">
        <x:v>2002-2008; federal grants</x:v>
      </x:c>
      <x:c r="D13" s="15" t="str">
        <x:v>Literacy</x:v>
      </x:c>
      <x:c r="E13" s="15" t="str">
        <x:v>Fund scientifically based reading instruction and assessment systems in high-poverty schools.</x:v>
      </x:c>
      <x:c r="F13" s="15" t="str">
        <x:v>Reading coaches, PD, K-3 curricula, assessment, instructional time</x:v>
      </x:c>
      <x:c r="G13" s="15" t="str">
        <x:v>K-3 students in participating schools</x:v>
      </x:c>
      <x:c r="H13" s="15" t="str">
        <x:v>Regression discontinuity; randomized component; implementation study</x:v>
      </x:c>
      <x:c r="I13" s="15" t="str">
        <x:v>Mixed/conditional</x:v>
      </x:c>
      <x:c r="J13" s="15" t="str">
        <x:v>Reading comprehension, decoding, instruction time, teacher practice</x:v>
      </x:c>
      <x:c r="K13" s="15" t="str">
        <x:v>The evaluation tests the federal grant implementation, not the National Reading Panel findings themselves.</x:v>
      </x:c>
      <x:c r="L13" s="15" t="str">
        <x:v>Improved some reading instruction measures but did not produce clear broad comprehension gains in the national impact study.</x:v>
      </x:c>
      <x:c r="M13" s="15" t="str">
        <x:v>https://ies.ed.gov/use-work/resource-library/report/evaluation-report/reading-first-impact-study-final-report; https://www.nichd.nih.gov/publications/pubs/nrp/findings</x:v>
      </x:c>
      <x:c r="N13" s="15" t="str">
        <x:v>Reading First; NCLB; literacy</x:v>
      </x:c>
    </x:row>
    <x:row r="14" ht="74" customHeight="1">
      <x:c r="A14" s="15" t="n">
        <x:v>13</x:v>
      </x:c>
      <x:c r="B14" s="15" t="str">
        <x:v>Success for All</x:v>
      </x:c>
      <x:c r="C14" s="15" t="str">
        <x:v>1987 onward; whole-school literacy</x:v>
      </x:c>
      <x:c r="D14" s="15" t="str">
        <x:v>Curriculum/pedagogy</x:v>
      </x:c>
      <x:c r="E14" s="15" t="str">
        <x:v>Use a coherent literacy block, frequent assessment, grouping, tutoring, family support, and schoolwide facilitation.</x:v>
      </x:c>
      <x:c r="F14" s="15" t="str">
        <x:v>90-minute reading block, cooperative learning, assessments, tutoring, facilitator, family supports</x:v>
      </x:c>
      <x:c r="G14" s="15" t="str">
        <x:v>Pre-K to grade 8, especially high-poverty schools</x:v>
      </x:c>
      <x:c r="H14" s="15" t="str">
        <x:v>RCTs; WWC intervention reviews; meta-analysis</x:v>
      </x:c>
      <x:c r="I14" s="15" t="str">
        <x:v>Strong causal evidence</x:v>
      </x:c>
      <x:c r="J14" s="15" t="str">
        <x:v>Reading achievement, phonics, comprehension, school implementation</x:v>
      </x:c>
      <x:c r="K14" s="15" t="str">
        <x:v>Effects depend on fidelity and whole-school adoption; comparisons should account for program maturity.</x:v>
      </x:c>
      <x:c r="L14" s="15" t="str">
        <x:v>One of the better-studied comprehensive literacy models, with positive evidence in multiple reviews.</x:v>
      </x:c>
      <x:c r="M14" s="15" t="str">
        <x:v>https://ies.ed.gov/ncee/wwc/Intervention/214; https://ies.ed.gov/ncee/wwc/</x:v>
      </x:c>
      <x:c r="N14" s="15" t="str">
        <x:v>whole-school reform; literacy</x:v>
      </x:c>
    </x:row>
    <x:row r="15" ht="74" customHeight="1">
      <x:c r="A15" s="15" t="n">
        <x:v>14</x:v>
      </x:c>
      <x:c r="B15" s="15" t="str">
        <x:v>Reading Recovery</x:v>
      </x:c>
      <x:c r="C15" s="15" t="str">
        <x:v>1980s onward; early intervention</x:v>
      </x:c>
      <x:c r="D15" s="15" t="str">
        <x:v>Literacy</x:v>
      </x:c>
      <x:c r="E15" s="15" t="str">
        <x:v>Provide intensive one-to-one tutoring to struggling first-grade readers before failure compounds.</x:v>
      </x:c>
      <x:c r="F15" s="15" t="str">
        <x:v>Daily 1:1 lessons, trained teachers, early identification, discontinuation rules</x:v>
      </x:c>
      <x:c r="G15" s="15" t="str">
        <x:v>Lowest-performing grade 1 readers</x:v>
      </x:c>
      <x:c r="H15" s="15" t="str">
        <x:v>RCTs; WWC review; longitudinal follow-up debates</x:v>
      </x:c>
      <x:c r="I15" s="15" t="str">
        <x:v>Promising causal/quasi</x:v>
      </x:c>
      <x:c r="J15" s="15" t="str">
        <x:v>Literacy achievement, writing, decoding, reading levels</x:v>
      </x:c>
      <x:c r="K15" s="15" t="str">
        <x:v>Selection, attrition, cost, and fadeout are central; ITT and treatment-on-treated estimates can diverge.</x:v>
      </x:c>
      <x:c r="L15" s="15" t="str">
        <x:v>Short-run reading gains are supported in some studies, but cost, scale, and longer-run durability remain contested.</x:v>
      </x:c>
      <x:c r="M15" s="15" t="str">
        <x:v>https://readingrecovery.org/wp-content/uploads/2023/11/JRR_23-1_fall_2023_schwartz.pdf; https://ies.ed.gov/ncee/wwc/</x:v>
      </x:c>
      <x:c r="N15" s="15" t="str">
        <x:v>early intervention; tutoring</x:v>
      </x:c>
    </x:row>
    <x:row r="16" ht="74" customHeight="1">
      <x:c r="A16" s="15" t="n">
        <x:v>15</x:v>
      </x:c>
      <x:c r="B16" s="15" t="str">
        <x:v>Balanced literacy / workshop models</x:v>
      </x:c>
      <x:c r="C16" s="15" t="str">
        <x:v>1990s-2020s; district curricula</x:v>
      </x:c>
      <x:c r="D16" s="15" t="str">
        <x:v>Literacy</x:v>
      </x:c>
      <x:c r="E16" s="15" t="str">
        <x:v>Build authentic reading/writing habits through leveled texts, mini-lessons, choice, and teacher conferences.</x:v>
      </x:c>
      <x:c r="F16" s="15" t="str">
        <x:v>Leveled readers, independent reading, cueing, writing workshop, classroom libraries</x:v>
      </x:c>
      <x:c r="G16" s="15" t="str">
        <x:v>Elementary literacy classrooms</x:v>
      </x:c>
      <x:c r="H16" s="15" t="str">
        <x:v>Implementation studies; curriculum comparisons; descriptive district trend evidence</x:v>
      </x:c>
      <x:c r="I16" s="15" t="str">
        <x:v>Mixed/conditional</x:v>
      </x:c>
      <x:c r="J16" s="15" t="str">
        <x:v>Reading comprehension, decoding, motivation, state reading scores</x:v>
      </x:c>
      <x:c r="K16" s="15" t="str">
        <x:v>The label covers diverse practice; some classrooms included phonics while others underemphasized decoding.</x:v>
      </x:c>
      <x:c r="L16" s="15" t="str">
        <x:v>Popular and influential, but evidence concerns about weak systematic decoding instruction drove many recent curriculum changes.</x:v>
      </x:c>
      <x:c r="M16" s="15" t="str">
        <x:v>https://www.nichd.nih.gov/publications/pubs/nrp/findings; https://www.mdek12.org/literacy/lbpa/</x:v>
      </x:c>
      <x:c r="N16" s="15" t="str">
        <x:v>balanced literacy; workshop</x:v>
      </x:c>
    </x:row>
    <x:row r="17" ht="74" customHeight="1">
      <x:c r="A17" s="15" t="n">
        <x:v>16</x:v>
      </x:c>
      <x:c r="B17" s="15" t="str">
        <x:v>Direct Instruction / Project Follow Through</x:v>
      </x:c>
      <x:c r="C17" s="15" t="str">
        <x:v>1968 onward; federal demonstration and programs</x:v>
      </x:c>
      <x:c r="D17" s="15" t="str">
        <x:v>Curriculum/pedagogy</x:v>
      </x:c>
      <x:c r="E17" s="15" t="str">
        <x:v>Use explicit, scripted, sequenced instruction with high practice and immediate feedback.</x:v>
      </x:c>
      <x:c r="F17" s="15" t="str">
        <x:v>Scripted lessons, mastery tests, teacher pacing, explicit modeling, corrective feedback</x:v>
      </x:c>
      <x:c r="G17" s="15" t="str">
        <x:v>Elementary students, historically including high-poverty sites</x:v>
      </x:c>
      <x:c r="H17" s="15" t="str">
        <x:v>Long-term follow-up; quasi-experimental and program evaluations</x:v>
      </x:c>
      <x:c r="I17" s="15" t="str">
        <x:v>Promising causal/quasi</x:v>
      </x:c>
      <x:c r="J17" s="15" t="str">
        <x:v>Standardized tests, dropout, college application</x:v>
      </x:c>
      <x:c r="K17" s="15" t="str">
        <x:v>Follow Through comparisons are historically important but not designed like modern multisite RCTs.</x:v>
      </x:c>
      <x:c r="L17" s="15" t="str">
        <x:v>A major counterexample to claims that highly explicit instruction is inherently low-level.</x:v>
      </x:c>
      <x:c r="M17" s="15" t="str">
        <x:v>https://eric.ed.gov/?id=EJ353785</x:v>
      </x:c>
      <x:c r="N17" s="15" t="str">
        <x:v>direct instruction; explicit teaching</x:v>
      </x:c>
    </x:row>
    <x:row r="18" ht="74" customHeight="1">
      <x:c r="A18" s="15" t="n">
        <x:v>17</x:v>
      </x:c>
      <x:c r="B18" s="15" t="str">
        <x:v>Core Knowledge / knowledge-rich curriculum</x:v>
      </x:c>
      <x:c r="C18" s="15" t="str">
        <x:v>1990s onward; school and network adoption</x:v>
      </x:c>
      <x:c r="D18" s="15" t="str">
        <x:v>Curriculum/pedagogy</x:v>
      </x:c>
      <x:c r="E18" s="15" t="str">
        <x:v>Reading comprehension and civic learning improve when students build systematic background knowledge across domains.</x:v>
      </x:c>
      <x:c r="F18" s="15" t="str">
        <x:v>Sequenced content, literature/history/science knowledge, vocabulary, curriculum coherence</x:v>
      </x:c>
      <x:c r="G18" s="15" t="str">
        <x:v>Elementary students</x:v>
      </x:c>
      <x:c r="H18" s="15" t="str">
        <x:v>Lottery/RCT in charter setting; quasi and implementation studies</x:v>
      </x:c>
      <x:c r="I18" s="15" t="str">
        <x:v>Promising causal/quasi</x:v>
      </x:c>
      <x:c r="J18" s="15" t="str">
        <x:v>Reading, math, science, state tests, vocabulary</x:v>
      </x:c>
      <x:c r="K18" s="15" t="str">
        <x:v>Effects may reflect school model plus curriculum; generalizing outside participating schools requires care.</x:v>
      </x:c>
      <x:c r="L18" s="15" t="str">
        <x:v>Recent causal work finds promising long-term reading gains, supporting a content-rich view of comprehension.</x:v>
      </x:c>
      <x:c r="M18" s="15" t="str">
        <x:v>https://education.virginia.edu/news-stories/study-knowledge-rich-curriculum-significantly-boosts-reading-scores</x:v>
      </x:c>
      <x:c r="N18" s="15" t="str">
        <x:v>knowledge-rich; curriculum</x:v>
      </x:c>
    </x:row>
    <x:row r="19" ht="74" customHeight="1">
      <x:c r="A19" s="15" t="n">
        <x:v>18</x:v>
      </x:c>
      <x:c r="B19" s="15" t="str">
        <x:v>High-quality instructional materials initiatives</x:v>
      </x:c>
      <x:c r="C19" s="15" t="str">
        <x:v>2010s onward; state/district networks</x:v>
      </x:c>
      <x:c r="D19" s="15" t="str">
        <x:v>Curriculum/pedagogy</x:v>
      </x:c>
      <x:c r="E19" s="15" t="str">
        <x:v>Better materials plus aligned professional learning can improve daily instruction at scale.</x:v>
      </x:c>
      <x:c r="F19" s="15" t="str">
        <x:v>Curriculum adoption, EdReports-style signals, PL, district mandates/recommendations</x:v>
      </x:c>
      <x:c r="G19" s="15" t="str">
        <x:v>K-12 ELA/math classrooms</x:v>
      </x:c>
      <x:c r="H19" s="15" t="str">
        <x:v>Teacher surveys; adoption studies; quasi evaluations</x:v>
      </x:c>
      <x:c r="I19" s="15" t="str">
        <x:v>Promising causal/quasi</x:v>
      </x:c>
      <x:c r="J19" s="15" t="str">
        <x:v>Material adoption, standards alignment, teacher use, achievement</x:v>
      </x:c>
      <x:c r="K19" s="15" t="str">
        <x:v>Adoption is not usage; researchers measure fidelity, teacher adaptation, and alignment to avoid treating procurement as implementation.</x:v>
      </x:c>
      <x:c r="L19" s="15" t="str">
        <x:v>Materials matter, but effects depend heavily on supports and classroom use.</x:v>
      </x:c>
      <x:c r="M19" s="15" t="str">
        <x:v>https://www.rand.org/pubs/research_reports/RRA134-13.html</x:v>
      </x:c>
      <x:c r="N19" s="15" t="str">
        <x:v>curriculum; HQIM</x:v>
      </x:c>
    </x:row>
    <x:row r="20" ht="74" customHeight="1">
      <x:c r="A20" s="15" t="n">
        <x:v>19</x:v>
      </x:c>
      <x:c r="B20" s="15" t="str">
        <x:v>High-dosage tutoring</x:v>
      </x:c>
      <x:c r="C20" s="15" t="str">
        <x:v>Ongoing; district/state/federal recovery priority</x:v>
      </x:c>
      <x:c r="D20" s="15" t="str">
        <x:v>Time/dosage</x:v>
      </x:c>
      <x:c r="E20" s="15" t="str">
        <x:v>Frequent individualized or small-group tutoring accelerates learning by adding feedback-rich instructional time.</x:v>
      </x:c>
      <x:c r="F20" s="15" t="str">
        <x:v>Tutor-student ratio, session frequency, total hours, during-school scheduling, curriculum alignment</x:v>
      </x:c>
      <x:c r="G20" s="15" t="str">
        <x:v>Students below grade level; pandemic recovery; all grades with emphasis on math/reading</x:v>
      </x:c>
      <x:c r="H20" s="15" t="str">
        <x:v>RCTs; meta-analyses; implementation studies</x:v>
      </x:c>
      <x:c r="I20" s="15" t="str">
        <x:v>Strong causal evidence</x:v>
      </x:c>
      <x:c r="J20" s="15" t="str">
        <x:v>Math and reading test scores, course passing, attendance</x:v>
      </x:c>
      <x:c r="K20" s="15" t="str">
        <x:v>Normalize by cumulative hours, frequency, tutor type, group size, and whether tutoring occurs during the school day.</x:v>
      </x:c>
      <x:c r="L20" s="15" t="str">
        <x:v>One of the strongest short-run academic interventions when frequent, sustained, curriculum-aligned, and attended.</x:v>
      </x:c>
      <x:c r="M20" s="15" t="str">
        <x:v>https://files.eric.ed.gov/fulltext/ED613847.pdf</x:v>
      </x:c>
      <x:c r="N20" s="15" t="str">
        <x:v>tutoring; dosage</x:v>
      </x:c>
    </x:row>
    <x:row r="21" ht="74" customHeight="1">
      <x:c r="A21" s="15" t="n">
        <x:v>20</x:v>
      </x:c>
      <x:c r="B21" s="15" t="str">
        <x:v>Saga-style and tech-infused tutoring</x:v>
      </x:c>
      <x:c r="C21" s="15" t="str">
        <x:v>2010s onward; urban districts</x:v>
      </x:c>
      <x:c r="D21" s="15" t="str">
        <x:v>Time/dosage</x:v>
      </x:c>
      <x:c r="E21" s="15" t="str">
        <x:v>Combine high-dosage human tutoring with software, diagnostics, and structured curricula to improve math.</x:v>
      </x:c>
      <x:c r="F21" s="15" t="str">
        <x:v>Daily/scheduled tutoring, tutor training, diagnostic software, small groups</x:v>
      </x:c>
      <x:c r="G21" s="15" t="str">
        <x:v>Middle and high school math students</x:v>
      </x:c>
      <x:c r="H21" s="15" t="str">
        <x:v>RCTs; district pilots; cost studies</x:v>
      </x:c>
      <x:c r="I21" s="15" t="str">
        <x:v>Strong causal evidence</x:v>
      </x:c>
      <x:c r="J21" s="15" t="str">
        <x:v>Math test scores, course grades, credits</x:v>
      </x:c>
      <x:c r="K21" s="15" t="str">
        <x:v>Distinguish the tutoring relationship from software contribution; compare intended vs attended sessions.</x:v>
      </x:c>
      <x:c r="L21" s="15" t="str">
        <x:v>Strong evidence for intensive tutoring models; the technology role is a support, not the whole treatment.</x:v>
      </x:c>
      <x:c r="M21" s="15" t="str">
        <x:v>https://files.eric.ed.gov/fulltext/ED613847.pdf</x:v>
      </x:c>
      <x:c r="N21" s="15" t="str">
        <x:v>math tutoring; edtech</x:v>
      </x:c>
    </x:row>
    <x:row r="22" ht="74" customHeight="1">
      <x:c r="A22" s="15" t="n">
        <x:v>21</x:v>
      </x:c>
      <x:c r="B22" s="15" t="str">
        <x:v>Project STAR / class-size reduction</x:v>
      </x:c>
      <x:c r="C22" s="15" t="str">
        <x:v>1985-1989 experiment; later policy influence</x:v>
      </x:c>
      <x:c r="D22" s="15" t="str">
        <x:v>Teacher workforce</x:v>
      </x:c>
      <x:c r="E22" s="15" t="str">
        <x:v>Smaller K-3 classes increase teacher attention and student engagement, improving early learning and later outcomes.</x:v>
      </x:c>
      <x:c r="F22" s="15" t="str">
        <x:v>Class size, teacher-student ratio, aide condition</x:v>
      </x:c>
      <x:c r="G22" s="15" t="str">
        <x:v>Tennessee K-3 students</x:v>
      </x:c>
      <x:c r="H22" s="15" t="str">
        <x:v>Randomized experiment; long-term administrative linkage</x:v>
      </x:c>
      <x:c r="I22" s="15" t="str">
        <x:v>Strong causal evidence</x:v>
      </x:c>
      <x:c r="J22" s="15" t="str">
        <x:v>Early test scores, college attendance, earnings, savings, home ownership</x:v>
      </x:c>
      <x:c r="K22" s="15" t="str">
        <x:v>Random assignment within schools is unusually strong; scaling requires enough effective teachers and classrooms.</x:v>
      </x:c>
      <x:c r="L22" s="15" t="str">
        <x:v>Small early classes produced lasting benefits, but broad policy is expensive and sensitive to teacher labor supply.</x:v>
      </x:c>
      <x:c r="M22" s="15" t="str">
        <x:v>https://www.nber.org/papers/w16381</x:v>
      </x:c>
      <x:c r="N22" s="15" t="str">
        <x:v>class size; randomized</x:v>
      </x:c>
    </x:row>
    <x:row r="23" ht="74" customHeight="1">
      <x:c r="A23" s="15" t="n">
        <x:v>22</x:v>
      </x:c>
      <x:c r="B23" s="15" t="str">
        <x:v>Teacher coaching</x:v>
      </x:c>
      <x:c r="C23" s="15" t="str">
        <x:v>2000s onward; many programs</x:v>
      </x:c>
      <x:c r="D23" s="15" t="str">
        <x:v>Teacher workforce</x:v>
      </x:c>
      <x:c r="E23" s="15" t="str">
        <x:v>Sustained, individualized coaching changes instruction more reliably than one-off workshops.</x:v>
      </x:c>
      <x:c r="F23" s="15" t="str">
        <x:v>Coach visits, observation-feedback cycles, modeling, practice, video review, curriculum-aligned support</x:v>
      </x:c>
      <x:c r="G23" s="15" t="str">
        <x:v>Teachers, especially early literacy and math</x:v>
      </x:c>
      <x:c r="H23" s="15" t="str">
        <x:v>Meta-analysis of causal studies; RCTs</x:v>
      </x:c>
      <x:c r="I23" s="15" t="str">
        <x:v>Strong causal evidence</x:v>
      </x:c>
      <x:c r="J23" s="15" t="str">
        <x:v>Instructional practice ratings, student achievement</x:v>
      </x:c>
      <x:c r="K23" s="15" t="str">
        <x:v>Normalize by coaching cycles, coach expertise, content focus, and program scale; scaling effects are often smaller.</x:v>
      </x:c>
      <x:c r="L23" s="15" t="str">
        <x:v>Coaching has stronger evidence than generic PD, especially at smaller scale and with clear instructional focus.</x:v>
      </x:c>
      <x:c r="M23" s="15" t="str">
        <x:v>https://annenberg.brown.edu/publications/effect-teacher-coaching-instruction-and-achievement-meta-analysis-causal-evidence</x:v>
      </x:c>
      <x:c r="N23" s="15" t="str">
        <x:v>teacher development; coaching</x:v>
      </x:c>
    </x:row>
    <x:row r="24" ht="74" customHeight="1">
      <x:c r="A24" s="15" t="n">
        <x:v>23</x:v>
      </x:c>
      <x:c r="B24" s="15" t="str">
        <x:v>Traditional workshop professional development</x:v>
      </x:c>
      <x:c r="C24" s="15" t="str">
        <x:v>Longstanding; district/state</x:v>
      </x:c>
      <x:c r="D24" s="15" t="str">
        <x:v>Teacher workforce</x:v>
      </x:c>
      <x:c r="E24" s="15" t="str">
        <x:v>Improve practice through training sessions, materials, and awareness of new standards or programs.</x:v>
      </x:c>
      <x:c r="F24" s="15" t="str">
        <x:v>PD hours, workshops, summer institutes, training materials</x:v>
      </x:c>
      <x:c r="G24" s="15" t="str">
        <x:v>Teachers and leaders</x:v>
      </x:c>
      <x:c r="H24" s="15" t="str">
        <x:v>RCTs/quasi; reviews; implementation studies</x:v>
      </x:c>
      <x:c r="I24" s="15" t="str">
        <x:v>Mixed/conditional</x:v>
      </x:c>
      <x:c r="J24" s="15" t="str">
        <x:v>Teacher knowledge, practice, student scores</x:v>
      </x:c>
      <x:c r="K24" s="15" t="str">
        <x:v>Seat hours are a weak measure; compare content specificity, active practice, coaching, and curriculum alignment.</x:v>
      </x:c>
      <x:c r="L24" s="15" t="str">
        <x:v>Often weak when isolated from coaching, materials, and accountability for classroom use.</x:v>
      </x:c>
      <x:c r="M24" s="15" t="str">
        <x:v>https://annenberg.brown.edu/publications/effect-teacher-coaching-instruction-and-achievement-meta-analysis-causal-evidence; https://www.rand.org/pubs/research_reports/RRA134-13.html</x:v>
      </x:c>
      <x:c r="N24" s="15" t="str">
        <x:v>PD; implementation</x:v>
      </x:c>
    </x:row>
    <x:row r="25" ht="74" customHeight="1">
      <x:c r="A25" s="15" t="n">
        <x:v>24</x:v>
      </x:c>
      <x:c r="B25" s="15" t="str">
        <x:v>Teach For America and alternate-route pipelines</x:v>
      </x:c>
      <x:c r="C25" s="15" t="str">
        <x:v>1990s onward; national and local</x:v>
      </x:c>
      <x:c r="D25" s="15" t="str">
        <x:v>Teacher workforce</x:v>
      </x:c>
      <x:c r="E25" s="15" t="str">
        <x:v>Recruit academically strong candidates into hard-to-staff schools and support them with alternative preparation.</x:v>
      </x:c>
      <x:c r="F25" s="15" t="str">
        <x:v>Selection criteria, summer training, school placement, support, service commitment</x:v>
      </x:c>
      <x:c r="G25" s="15" t="str">
        <x:v>High-poverty schools and shortage subjects</x:v>
      </x:c>
      <x:c r="H25" s="15" t="str">
        <x:v>RCTs/quasi evaluations; teacher value-added comparisons</x:v>
      </x:c>
      <x:c r="I25" s="15" t="str">
        <x:v>Mixed/conditional</x:v>
      </x:c>
      <x:c r="J25" s="15" t="str">
        <x:v>Student math/reading gains, teacher retention, placement</x:v>
      </x:c>
      <x:c r="K25" s="15" t="str">
        <x:v>Teacher assignment is not random in most settings; subject, grade, and retention matter.</x:v>
      </x:c>
      <x:c r="L25" s="15" t="str">
        <x:v>Some evaluations show positive math effects, but reading effects and turnover tradeoffs vary by context.</x:v>
      </x:c>
      <x:c r="M25" s="15" t="str">
        <x:v>https://www.mathematica.org/publications/the-effectiveness-of-secondary-math-teachers-from-teach-for-america-and-the-teaching-fellows-programs</x:v>
      </x:c>
      <x:c r="N25" s="15" t="str">
        <x:v>teacher pipeline; alternative certification</x:v>
      </x:c>
    </x:row>
    <x:row r="26" ht="74" customHeight="1">
      <x:c r="A26" s="15" t="n">
        <x:v>25</x:v>
      </x:c>
      <x:c r="B26" s="15" t="str">
        <x:v>National Board Certification and advanced credentials</x:v>
      </x:c>
      <x:c r="C26" s="15" t="str">
        <x:v>1990s onward; teacher quality policy</x:v>
      </x:c>
      <x:c r="D26" s="15" t="str">
        <x:v>Teacher workforce</x:v>
      </x:c>
      <x:c r="E26" s="15" t="str">
        <x:v>Credentialing should identify and reward accomplished teachers, improving teacher quality and distribution.</x:v>
      </x:c>
      <x:c r="F26" s="15" t="str">
        <x:v>Certification standards, incentives, teacher career ladders</x:v>
      </x:c>
      <x:c r="G26" s="15" t="str">
        <x:v>Experienced teachers</x:v>
      </x:c>
      <x:c r="H26" s="15" t="str">
        <x:v>Observational/value-added; selection-adjusted comparisons</x:v>
      </x:c>
      <x:c r="I26" s="15" t="str">
        <x:v>Mixed/conditional</x:v>
      </x:c>
      <x:c r="J26" s="15" t="str">
        <x:v>Teacher retention, value-added, student scores</x:v>
      </x:c>
      <x:c r="K26" s="15" t="str">
        <x:v>Certified teachers are selected; researchers need prior performance and assignment controls.</x:v>
      </x:c>
      <x:c r="L26" s="15" t="str">
        <x:v>Credentials can signal quality, but the policy question is whether incentives change who teaches where.</x:v>
      </x:c>
      <x:c r="M26" s="15" t="str">
        <x:v>https://ies.ed.gov/ncee/wwc/</x:v>
      </x:c>
      <x:c r="N26" s="15" t="str">
        <x:v>teacher credentials</x:v>
      </x:c>
    </x:row>
    <x:row r="27" ht="74" customHeight="1">
      <x:c r="A27" s="15" t="n">
        <x:v>26</x:v>
      </x:c>
      <x:c r="B27" s="15" t="str">
        <x:v>Teacher merit pay / POINT and similar incentives</x:v>
      </x:c>
      <x:c r="C27" s="15" t="str">
        <x:v>2000s onward; district/state pilots</x:v>
      </x:c>
      <x:c r="D27" s="15" t="str">
        <x:v>Teacher workforce</x:v>
      </x:c>
      <x:c r="E27" s="15" t="str">
        <x:v>Performance bonuses will motivate teachers to raise student achievement.</x:v>
      </x:c>
      <x:c r="F27" s="15" t="str">
        <x:v>Bonus size, eligibility, test-score formula, individual/team incentives</x:v>
      </x:c>
      <x:c r="G27" s="15" t="str">
        <x:v>Teachers, often tested grades/subjects</x:v>
      </x:c>
      <x:c r="H27" s="15" t="str">
        <x:v>Randomized trials; quasi evaluations</x:v>
      </x:c>
      <x:c r="I27" s="15" t="str">
        <x:v>Mixed/conditional</x:v>
      </x:c>
      <x:c r="J27" s="15" t="str">
        <x:v>Student test scores, teacher behavior, retention</x:v>
      </x:c>
      <x:c r="K27" s="15" t="str">
        <x:v>Need account for baseline incentives, test stakes, collaboration vs competition, and whether teachers know how to improve.</x:v>
      </x:c>
      <x:c r="L27" s="15" t="str">
        <x:v>Simple test-score bonuses alone have often produced null or modest effects.</x:v>
      </x:c>
      <x:c r="M27" s="15" t="str">
        <x:v>https://my.vanderbilt.edu/performanceincentives/projects/point/</x:v>
      </x:c>
      <x:c r="N27" s="15" t="str">
        <x:v>incentives; merit pay</x:v>
      </x:c>
    </x:row>
    <x:row r="28" ht="74" customHeight="1">
      <x:c r="A28" s="15" t="n">
        <x:v>27</x:v>
      </x:c>
      <x:c r="B28" s="15" t="str">
        <x:v>DC IMPACT / teacher evaluation with consequences</x:v>
      </x:c>
      <x:c r="C28" s="15" t="str">
        <x:v>2009 onward; district</x:v>
      </x:c>
      <x:c r="D28" s="15" t="str">
        <x:v>Teacher workforce</x:v>
      </x:c>
      <x:c r="E28" s="15" t="str">
        <x:v>Combine multiple teacher performance measures with incentives and dismissal risk to improve workforce quality.</x:v>
      </x:c>
      <x:c r="F28" s="15" t="str">
        <x:v>Observation rubrics, value-added, ratings, bonuses, dismissals, professional development</x:v>
      </x:c>
      <x:c r="G28" s="15" t="str">
        <x:v>Teachers and principals in DCPS</x:v>
      </x:c>
      <x:c r="H28" s="15" t="str">
        <x:v>Difference-in-differences; regression discontinuity around rating thresholds; administrative data</x:v>
      </x:c>
      <x:c r="I28" s="15" t="str">
        <x:v>Promising causal/quasi</x:v>
      </x:c>
      <x:c r="J28" s="15" t="str">
        <x:v>Teacher performance, retention, student achievement</x:v>
      </x:c>
      <x:c r="K28" s="15" t="str">
        <x:v>Compare teachers near rating cutoffs; distinguish incentive, selection, and support mechanisms.</x:v>
      </x:c>
      <x:c r="L28" s="15" t="str">
        <x:v>More consequential evaluation can change teacher performance and composition, but sustainability and trust are central concerns.</x:v>
      </x:c>
      <x:c r="M28" s="15" t="str">
        <x:v>https://www.nber.org/papers/w19403</x:v>
      </x:c>
      <x:c r="N28" s="15" t="str">
        <x:v>teacher evaluation; value-added</x:v>
      </x:c>
    </x:row>
    <x:row r="29" ht="74" customHeight="1">
      <x:c r="A29" s="15" t="n">
        <x:v>28</x:v>
      </x:c>
      <x:c r="B29" s="15" t="str">
        <x:v>Gates Measures of Effective Teaching Project</x:v>
      </x:c>
      <x:c r="C29" s="15" t="str">
        <x:v>2009-2013; multi-district research</x:v>
      </x:c>
      <x:c r="D29" s="15" t="str">
        <x:v>Teacher workforce</x:v>
      </x:c>
      <x:c r="E29" s="15" t="str">
        <x:v>Use multiple measures to understand and predict effective teaching.</x:v>
      </x:c>
      <x:c r="F29" s="15" t="str">
        <x:v>Classroom observations, student surveys, value-added, video analysis</x:v>
      </x:c>
      <x:c r="G29" s="15" t="str">
        <x:v>Teachers in multiple districts</x:v>
      </x:c>
      <x:c r="H29" s="15" t="str">
        <x:v>Research study with random assignment of classrooms in validation year</x:v>
      </x:c>
      <x:c r="I29" s="15" t="str">
        <x:v>Not an outcome intervention</x:v>
      </x:c>
      <x:c r="J29" s="15" t="str">
        <x:v>Measure reliability, predictive validity, student achievement</x:v>
      </x:c>
      <x:c r="K29" s="15" t="str">
        <x:v>The project studied measurement validity; using measures in high-stakes systems is a separate policy intervention.</x:v>
      </x:c>
      <x:c r="L29" s="15" t="str">
        <x:v>Influential for teacher evaluation design, but not itself a school improvement program.</x:v>
      </x:c>
      <x:c r="M29" s="15" t="str">
        <x:v>https://cepr.harvard.edu/met-project</x:v>
      </x:c>
      <x:c r="N29" s="15" t="str">
        <x:v>Gates; teacher measurement</x:v>
      </x:c>
    </x:row>
    <x:row r="30" ht="74" customHeight="1">
      <x:c r="A30" s="15" t="n">
        <x:v>29</x:v>
      </x:c>
      <x:c r="B30" s="15" t="str">
        <x:v>Gates Intensive Partnerships for Effective Teaching</x:v>
      </x:c>
      <x:c r="C30" s="15" t="str">
        <x:v>2009-2016; selected districts/charters</x:v>
      </x:c>
      <x:c r="D30" s="15" t="str">
        <x:v>Teacher workforce</x:v>
      </x:c>
      <x:c r="E30" s="15" t="str">
        <x:v>Better teacher effectiveness measures and talent systems should increase access to effective teaching.</x:v>
      </x:c>
      <x:c r="F30" s="15" t="str">
        <x:v>Evaluation systems, staffing, compensation, tenure, PD, value-added, observations</x:v>
      </x:c>
      <x:c r="G30" s="15" t="str">
        <x:v>Teachers/students in partner sites</x:v>
      </x:c>
      <x:c r="H30" s="15" t="str">
        <x:v>Longitudinal implementation and impact evaluation</x:v>
      </x:c>
      <x:c r="I30" s="15" t="str">
        <x:v>Mixed/conditional</x:v>
      </x:c>
      <x:c r="J30" s="15" t="str">
        <x:v>Achievement growth, teacher effectiveness distribution, HR outcomes</x:v>
      </x:c>
      <x:c r="K30" s="15" t="str">
        <x:v>Bundled reforms, local implementation, and changing district contexts complicate attribution.</x:v>
      </x:c>
      <x:c r="L30" s="15" t="str">
        <x:v>The initiative did not deliver broad expected student achievement gains despite major investment and implementation effort.</x:v>
      </x:c>
      <x:c r="M30" s="15" t="str">
        <x:v>https://www.rand.org/pubs/research_reports/RR2242.html</x:v>
      </x:c>
      <x:c r="N30" s="15" t="str">
        <x:v>Gates; teacher effectiveness</x:v>
      </x:c>
    </x:row>
    <x:row r="31" ht="74" customHeight="1">
      <x:c r="A31" s="15" t="n">
        <x:v>30</x:v>
      </x:c>
      <x:c r="B31" s="15" t="str">
        <x:v>Gates-funded small high schools / NYC Small Schools of Choice</x:v>
      </x:c>
      <x:c r="C31" s="15" t="str">
        <x:v>2002 onward; NYC high schools</x:v>
      </x:c>
      <x:c r="D31" s="15" t="str">
        <x:v>School organization/governance</x:v>
      </x:c>
      <x:c r="E31" s="15" t="str">
        <x:v>Smaller, mission-focused schools improve personalization, engagement, and graduation outcomes.</x:v>
      </x:c>
      <x:c r="F31" s="15" t="str">
        <x:v>School size, admissions choice, thematic focus, personalization, new school creation, closure of large schools</x:v>
      </x:c>
      <x:c r="G31" s="15" t="str">
        <x:v>NYC high school students</x:v>
      </x:c>
      <x:c r="H31" s="15" t="str">
        <x:v>Lottery-based evaluation using high school choice system</x:v>
      </x:c>
      <x:c r="I31" s="15" t="str">
        <x:v>Strong causal evidence</x:v>
      </x:c>
      <x:c r="J31" s="15" t="str">
        <x:v>Graduation, credits, Regents exams, college enrollment</x:v>
      </x:c>
      <x:c r="K31" s="15" t="str">
        <x:v>Lottery estimates apply to applicants to oversubscribed small schools; school closure and system redesign are part of context.</x:v>
      </x:c>
      <x:c r="L31" s="15" t="str">
        <x:v>NYC small schools produced meaningful graduation gains, showing school design can matter when implementation and choice systems align.</x:v>
      </x:c>
      <x:c r="M31" s="15" t="str">
        <x:v>https://www.mdrc.org/work/projects/new-york-city-small-schools-choice-evaluation</x:v>
      </x:c>
      <x:c r="N31" s="15" t="str">
        <x:v>Gates; small schools; high school</x:v>
      </x:c>
    </x:row>
    <x:row r="32" ht="74" customHeight="1">
      <x:c r="A32" s="15" t="n">
        <x:v>31</x:v>
      </x:c>
      <x:c r="B32" s="15" t="str">
        <x:v>Gates personalized learning / Next Generation Learning Challenges</x:v>
      </x:c>
      <x:c r="C32" s="15" t="str">
        <x:v>2010s; charter and district schools</x:v>
      </x:c>
      <x:c r="D32" s="15" t="str">
        <x:v>Technology</x:v>
      </x:c>
      <x:c r="E32" s="15" t="str">
        <x:v>Customize pace, path, place, and learner goals using data, flexible grouping, and technology.</x:v>
      </x:c>
      <x:c r="F32" s="15" t="str">
        <x:v>Adaptive software, competency progression, student choice, flexible schedules, data dashboards</x:v>
      </x:c>
      <x:c r="G32" s="15" t="str">
        <x:v>K-12 schools adopting personalized learning</x:v>
      </x:c>
      <x:c r="H32" s="15" t="str">
        <x:v>Matched comparison; implementation study; site visits</x:v>
      </x:c>
      <x:c r="I32" s="15" t="str">
        <x:v>Promising causal/quasi</x:v>
      </x:c>
      <x:c r="J32" s="15" t="str">
        <x:v>Math and reading growth, student surveys, implementation measures</x:v>
      </x:c>
      <x:c r="K32" s="15" t="str">
        <x:v>The treatment is a heterogeneous school model, not just software; compare active usage and teacher mediation.</x:v>
      </x:c>
      <x:c r="L32" s="15" t="str">
        <x:v>Early RAND evidence was promising, but heterogeneity and later critiques caution against treating personalized learning as one proven model.</x:v>
      </x:c>
      <x:c r="M32" s="15" t="str">
        <x:v>https://www.rand.org/pubs/research_reports/RR1365.html</x:v>
      </x:c>
      <x:c r="N32" s="15" t="str">
        <x:v>Gates; personalized learning; edtech</x:v>
      </x:c>
    </x:row>
    <x:row r="33" ht="74" customHeight="1">
      <x:c r="A33" s="15" t="n">
        <x:v>32</x:v>
      </x:c>
      <x:c r="B33" s="15" t="str">
        <x:v>Gates Networks for School Improvement</x:v>
      </x:c>
      <x:c r="C33" s="15" t="str">
        <x:v>2018-2026; nearly 800 schools across networks</x:v>
      </x:c>
      <x:c r="D33" s="15" t="str">
        <x:v>School organization/governance</x:v>
      </x:c>
      <x:c r="E33" s="15" t="str">
        <x:v>Networked continuous improvement helps schools identify problems, test changes, and spread effective practices.</x:v>
      </x:c>
      <x:c r="F33" s="15" t="str">
        <x:v>Intermediary support, CI cycles, shared aims, data use, student voice, cross-school learning</x:v>
      </x:c>
      <x:c r="G33" s="15" t="str">
        <x:v>Middle/high school transitions and postsecondary readiness</x:v>
      </x:c>
      <x:c r="H33" s="15" t="str">
        <x:v>RCT and quasi evaluation; implementation study</x:v>
      </x:c>
      <x:c r="I33" s="15" t="str">
        <x:v>Promising causal/quasi</x:v>
      </x:c>
      <x:c r="J33" s="15" t="str">
        <x:v>9th-grade on-track, course failures, attendance, FAFSA, postsecondary enrollment</x:v>
      </x:c>
      <x:c r="K33" s="15" t="str">
        <x:v>Impacts vary by network; researchers compare schools with stronger engagement and use targeted outcomes rather than broad test scores only.</x:v>
      </x:c>
      <x:c r="L33" s="15" t="str">
        <x:v>The final evaluation found promising effects on some targeted outcomes, with engagement and CI fidelity tied to stronger results.</x:v>
      </x:c>
      <x:c r="M33" s="15" t="str">
        <x:v>https://usprogram.gatesfoundation.org/news-and-insights/articles/networks-for-school-improvement-initiative-lessons-learned-to-inform-student-and-teacher-success; https://www.mathematica.org/api/sitecore/MediaLibrary/ActualDownload?fileData=NSI+Evaluation+-+Impacts+on+Student+Outcomes+Final+Report.pdf+-+%7B253F094F-163C-4719-BB71-B1D76F5EE4CE%7D&amp;fileId=%7B253F094F-163C-4719-BB71-B1D76F5EE4CE%7D&amp;fileMime=application%2Fpdf&amp;fileName=NSI+Evaluation+-+Impacts+on+Student+Outcomes+Final+Report.pdf</x:v>
      </x:c>
      <x:c r="N33" s="15" t="str">
        <x:v>Gates; continuous improvement; networks</x:v>
      </x:c>
    </x:row>
    <x:row r="34" ht="74" customHeight="1">
      <x:c r="A34" s="15" t="n">
        <x:v>33</x:v>
      </x:c>
      <x:c r="B34" s="15" t="str">
        <x:v>Charter schools overall</x:v>
      </x:c>
      <x:c r="C34" s="15" t="str">
        <x:v>1990s onward; state-authorized public schools</x:v>
      </x:c>
      <x:c r="D34" s="15" t="str">
        <x:v>Choice</x:v>
      </x:c>
      <x:c r="E34" s="15" t="str">
        <x:v>School autonomy plus family choice can create better school models and accountability through enrollment.</x:v>
      </x:c>
      <x:c r="F34" s="15" t="str">
        <x:v>Autonomy, authorizer rules, school model, staffing, discipline, curriculum, CMO support</x:v>
      </x:c>
      <x:c r="G34" s="15" t="str">
        <x:v>Students choosing/applying to charter schools</x:v>
      </x:c>
      <x:c r="H34" s="15" t="str">
        <x:v>Lottery studies; virtual matched controls; state panels</x:v>
      </x:c>
      <x:c r="I34" s="15" t="str">
        <x:v>Mixed/conditional</x:v>
      </x:c>
      <x:c r="J34" s="15" t="str">
        <x:v>State tests, NAEP-like growth, graduation, college enrollment</x:v>
      </x:c>
      <x:c r="K34" s="15" t="str">
        <x:v>Average charter effects hide major variation by state, authorizer, urbanicity, and school model; lottery samples are applicant populations.</x:v>
      </x:c>
      <x:c r="L34" s="15" t="str">
        <x:v>Charter effects are highly heterogeneous: urban/no-excuses and some CMOs show strong gains, while many charters are neutral or weaker.</x:v>
      </x:c>
      <x:c r="M34" s="15" t="str">
        <x:v>https://credo.stanford.edu/reports/item/national-charter-school-study-iii/; https://www.nber.org/papers/w16832</x:v>
      </x:c>
      <x:c r="N34" s="15" t="str">
        <x:v>charters; choice</x:v>
      </x:c>
    </x:row>
    <x:row r="35" ht="74" customHeight="1">
      <x:c r="A35" s="15" t="n">
        <x:v>34</x:v>
      </x:c>
      <x:c r="B35" s="15" t="str">
        <x:v>No-excuses charter networks and high-performing CMOs</x:v>
      </x:c>
      <x:c r="C35" s="15" t="str">
        <x:v>2000s onward; urban networks</x:v>
      </x:c>
      <x:c r="D35" s="15" t="str">
        <x:v>Choice</x:v>
      </x:c>
      <x:c r="E35" s="15" t="str">
        <x:v>High expectations, longer time, intensive tutoring, data use, and tight culture raise achievement in underserved communities.</x:v>
      </x:c>
      <x:c r="F35" s="15" t="str">
        <x:v>Longer day/year, tutoring, behavior systems, teacher coaching, curriculum, data meetings</x:v>
      </x:c>
      <x:c r="G35" s="15" t="str">
        <x:v>Urban charter students, often lottery applicants</x:v>
      </x:c>
      <x:c r="H35" s="15" t="str">
        <x:v>Admissions lotteries; matched comparison; CMO evaluations</x:v>
      </x:c>
      <x:c r="I35" s="15" t="str">
        <x:v>Strong causal evidence</x:v>
      </x:c>
      <x:c r="J35" s="15" t="str">
        <x:v>State tests, AP/SAT, college enrollment, behavior</x:v>
      </x:c>
      <x:c r="K35" s="15" t="str">
        <x:v>Lottery applicants may not represent all students; attrition and peer/compliance mechanisms need scrutiny.</x:v>
      </x:c>
      <x:c r="L35" s="15" t="str">
        <x:v>Some networks generate large test-score gains, but the debate is about replication, student experience, and which mechanisms matter.</x:v>
      </x:c>
      <x:c r="M35" s="15" t="str">
        <x:v>https://credo.stanford.edu/reports/item/national-charter-school-study-iii/; https://www.nber.org/papers/w16832</x:v>
      </x:c>
      <x:c r="N35" s="15" t="str">
        <x:v>CMO; no-excuses; charters</x:v>
      </x:c>
    </x:row>
    <x:row r="36" ht="74" customHeight="1">
      <x:c r="A36" s="15" t="n">
        <x:v>35</x:v>
      </x:c>
      <x:c r="B36" s="15" t="str">
        <x:v>Private school vouchers / DC and Louisiana examples</x:v>
      </x:c>
      <x:c r="C36" s="15" t="str">
        <x:v>2000s onward; federal/state/local</x:v>
      </x:c>
      <x:c r="D36" s="15" t="str">
        <x:v>Choice</x:v>
      </x:c>
      <x:c r="E36" s="15" t="str">
        <x:v>Giving families public funds for private schools increases match quality and competitive pressure.</x:v>
      </x:c>
      <x:c r="F36" s="15" t="str">
        <x:v>Scholarship amount, eligibility, private school participation, admissions lotteries, accountability rules</x:v>
      </x:c>
      <x:c r="G36" s="15" t="str">
        <x:v>Students eligible for scholarships</x:v>
      </x:c>
      <x:c r="H36" s="15" t="str">
        <x:v>Lottery/RCT designs; administrative follow-up</x:v>
      </x:c>
      <x:c r="I36" s="15" t="str">
        <x:v>Mixed/conditional</x:v>
      </x:c>
      <x:c r="J36" s="15" t="str">
        <x:v>Test scores, parent satisfaction, safety, graduation, college enrollment</x:v>
      </x:c>
      <x:c r="K36" s="15" t="str">
        <x:v>Voucher effects depend on participating schools and accountability rules; compare offers (ITT) and actual attendance (TOT).</x:v>
      </x:c>
      <x:c r="L36" s="15" t="str">
        <x:v>DC and Louisiana show why voucher evidence cannot be generalized: non-test outcomes may improve in some contexts while test scores can fall in others.</x:v>
      </x:c>
      <x:c r="M36" s="15" t="str">
        <x:v>https://ies.ed.gov/ncee/pubs/20174022/; https://www.nber.org/papers/w21839</x:v>
      </x:c>
      <x:c r="N36" s="15" t="str">
        <x:v>vouchers; private choice</x:v>
      </x:c>
    </x:row>
    <x:row r="37" ht="74" customHeight="1">
      <x:c r="A37" s="15" t="n">
        <x:v>36</x:v>
      </x:c>
      <x:c r="B37" s="15" t="str">
        <x:v>Magnet schools and controlled choice/desegregation plans</x:v>
      </x:c>
      <x:c r="C37" s="15" t="str">
        <x:v>1970s onward; district/state</x:v>
      </x:c>
      <x:c r="D37" s="15" t="str">
        <x:v>Choice</x:v>
      </x:c>
      <x:c r="E37" s="15" t="str">
        <x:v>Use themed schools and assignment rules to improve access, integration, and specialized instruction.</x:v>
      </x:c>
      <x:c r="F37" s="15" t="str">
        <x:v>Admissions rules, themes, transportation, racial/economic balance targets</x:v>
      </x:c>
      <x:c r="G37" s="15" t="str">
        <x:v>District students and families</x:v>
      </x:c>
      <x:c r="H37" s="15" t="str">
        <x:v>Lotteries; court-order changes; quasi studies</x:v>
      </x:c>
      <x:c r="I37" s="15" t="str">
        <x:v>Mixed/conditional</x:v>
      </x:c>
      <x:c r="J37" s="15" t="str">
        <x:v>Achievement, integration, enrollment, graduation, parent demand</x:v>
      </x:c>
      <x:c r="K37" s="15" t="str">
        <x:v>Goals include integration and access, not only test scores; applicant lotteries are not full-population effects.</x:v>
      </x:c>
      <x:c r="L37" s="15" t="str">
        <x:v>Magnet effects depend on theme quality, selection, transportation, and whether integration is treated as an outcome or mechanism.</x:v>
      </x:c>
      <x:c r="M37" s="15" t="str">
        <x:v>https://ies.ed.gov/ncee/wwc/</x:v>
      </x:c>
      <x:c r="N37" s="15" t="str">
        <x:v>magnet; desegregation</x:v>
      </x:c>
    </x:row>
    <x:row r="38" ht="74" customHeight="1">
      <x:c r="A38" s="15" t="n">
        <x:v>37</x:v>
      </x:c>
      <x:c r="B38" s="15" t="str">
        <x:v>Community schools / NYC Community Schools</x:v>
      </x:c>
      <x:c r="C38" s="15" t="str">
        <x:v>2014 onward; district and national expansion</x:v>
      </x:c>
      <x:c r="D38" s="15" t="str">
        <x:v>Whole-child/climate</x:v>
      </x:c>
      <x:c r="E38" s="15" t="str">
        <x:v>Integrated academics, health, counseling, family engagement, and community partnerships reduce barriers to learning.</x:v>
      </x:c>
      <x:c r="F38" s="15" t="str">
        <x:v>On-site services, community school director, partnerships, family engagement, attendance supports</x:v>
      </x:c>
      <x:c r="G38" s="15" t="str">
        <x:v>High-need schools</x:v>
      </x:c>
      <x:c r="H38" s="15" t="str">
        <x:v>Quasi-experimental impact study; implementation study</x:v>
      </x:c>
      <x:c r="I38" s="15" t="str">
        <x:v>Promising causal/quasi</x:v>
      </x:c>
      <x:c r="J38" s="15" t="str">
        <x:v>Attendance, chronic absenteeism, credits, achievement, graduation, school climate</x:v>
      </x:c>
      <x:c r="K38" s="15" t="str">
        <x:v>Services, uptake, and neighborhood context vary; compare similar schools and track service dose.</x:v>
      </x:c>
      <x:c r="L38" s="15" t="str">
        <x:v>Evidence is promising for attendance and some academic outcomes, but the model is complex and slower-moving than a single curriculum change.</x:v>
      </x:c>
      <x:c r="M38" s="15" t="str">
        <x:v>https://www.rand.org/pubs/research_reports/RR3245.html</x:v>
      </x:c>
      <x:c r="N38" s="15" t="str">
        <x:v>community schools; wraparound</x:v>
      </x:c>
    </x:row>
    <x:row r="39" ht="74" customHeight="1">
      <x:c r="A39" s="15" t="n">
        <x:v>38</x:v>
      </x:c>
      <x:c r="B39" s="15" t="str">
        <x:v>Harlem Children's Zone / Promise Neighborhoods</x:v>
      </x:c>
      <x:c r="C39" s="15" t="str">
        <x:v>1990s onward; place-based</x:v>
      </x:c>
      <x:c r="D39" s="15" t="str">
        <x:v>Whole-child/climate</x:v>
      </x:c>
      <x:c r="E39" s="15" t="str">
        <x:v>Combine high-quality schools with cradle-to-career supports to change neighborhood trajectories.</x:v>
      </x:c>
      <x:c r="F39" s="15" t="str">
        <x:v>Charter schools, parenting programs, health/social services, afterschool, college supports</x:v>
      </x:c>
      <x:c r="G39" s="15" t="str">
        <x:v>Children in defined neighborhoods</x:v>
      </x:c>
      <x:c r="H39" s="15" t="str">
        <x:v>Quasi-experimental; school lottery; neighborhood comparisons</x:v>
      </x:c>
      <x:c r="I39" s="15" t="str">
        <x:v>Mixed/conditional</x:v>
      </x:c>
      <x:c r="J39" s="15" t="str">
        <x:v>Achievement, college, family services, neighborhood indicators</x:v>
      </x:c>
      <x:c r="K39" s="15" t="str">
        <x:v>Separate school effects from neighborhood services; treatment exposure varies by age and service take-up.</x:v>
      </x:c>
      <x:c r="L39" s="15" t="str">
        <x:v>The strongest measured gains often come from the school component, while broader place-based effects are harder to isolate.</x:v>
      </x:c>
      <x:c r="M39" s="15" t="str">
        <x:v>https://ies.ed.gov/ncee/wwc/</x:v>
      </x:c>
      <x:c r="N39" s="15" t="str">
        <x:v>place-based; wraparound</x:v>
      </x:c>
    </x:row>
    <x:row r="40" ht="74" customHeight="1">
      <x:c r="A40" s="15" t="n">
        <x:v>39</x:v>
      </x:c>
      <x:c r="B40" s="15" t="str">
        <x:v>Social and emotional learning programs</x:v>
      </x:c>
      <x:c r="C40" s="15" t="str">
        <x:v>1990s onward; widespread</x:v>
      </x:c>
      <x:c r="D40" s="15" t="str">
        <x:v>Whole-child/climate</x:v>
      </x:c>
      <x:c r="E40" s="15" t="str">
        <x:v>Teach self-management, relationship, and decision-making skills to improve behavior, climate, and academics.</x:v>
      </x:c>
      <x:c r="F40" s="15" t="str">
        <x:v>SEL lessons, teacher routines, schoolwide norms, adult SEL, climate strategies</x:v>
      </x:c>
      <x:c r="G40" s="15" t="str">
        <x:v>Students and adults across K-12</x:v>
      </x:c>
      <x:c r="H40" s="15" t="str">
        <x:v>Meta-analyses; RCTs; implementation studies</x:v>
      </x:c>
      <x:c r="I40" s="15" t="str">
        <x:v>Strong causal evidence</x:v>
      </x:c>
      <x:c r="J40" s="15" t="str">
        <x:v>SEL skills, behavior, mental health, achievement, climate</x:v>
      </x:c>
      <x:c r="K40" s="15" t="str">
        <x:v>SEL outcomes rely on validated scales and can be politically redefined; implementation quality matters.</x:v>
      </x:c>
      <x:c r="L40" s="15" t="str">
        <x:v>Meta-analytic evidence supports positive average effects, though program content and measurement vary widely.</x:v>
      </x:c>
      <x:c r="M40" s="15" t="str">
        <x:v>https://casel.org/events/the-evidence-is-clear-an-update-on-research-examining-social-and-emotional-learning/</x:v>
      </x:c>
      <x:c r="N40" s="15" t="str">
        <x:v>SEL; whole child</x:v>
      </x:c>
    </x:row>
    <x:row r="41" ht="74" customHeight="1">
      <x:c r="A41" s="15" t="n">
        <x:v>40</x:v>
      </x:c>
      <x:c r="B41" s="15" t="str">
        <x:v>PBIS / MTSS behavior systems</x:v>
      </x:c>
      <x:c r="C41" s="15" t="str">
        <x:v>1990s onward; schoolwide</x:v>
      </x:c>
      <x:c r="D41" s="15" t="str">
        <x:v>Whole-child/climate</x:v>
      </x:c>
      <x:c r="E41" s="15" t="str">
        <x:v>Improve behavior by explicitly teaching expectations and using tiered supports and data systems.</x:v>
      </x:c>
      <x:c r="F41" s="15" t="str">
        <x:v>Behavior expectations, reinforcement systems, office discipline referrals, tiered intervention teams</x:v>
      </x:c>
      <x:c r="G41" s="15" t="str">
        <x:v>Whole schools; students needing behavior support</x:v>
      </x:c>
      <x:c r="H41" s="15" t="str">
        <x:v>Group RCTs; implementation studies; research database</x:v>
      </x:c>
      <x:c r="I41" s="15" t="str">
        <x:v>Strong causal evidence</x:v>
      </x:c>
      <x:c r="J41" s="15" t="str">
        <x:v>Office referrals, suspensions, climate, achievement, fidelity</x:v>
      </x:c>
      <x:c r="K41" s="15" t="str">
        <x:v>Discipline data are partly reporting artifacts; fidelity tools are needed to distinguish adoption from use.</x:v>
      </x:c>
      <x:c r="L41" s="15" t="str">
        <x:v>Good evidence for behavior/climate improvements; academic effects are often indirect through instructional time.</x:v>
      </x:c>
      <x:c r="M41" s="15" t="str">
        <x:v>https://www.pbis.org/pbis/studies</x:v>
      </x:c>
      <x:c r="N41" s="15" t="str">
        <x:v>PBIS; behavior; MTSS</x:v>
      </x:c>
    </x:row>
    <x:row r="42" ht="74" customHeight="1">
      <x:c r="A42" s="15" t="n">
        <x:v>41</x:v>
      </x:c>
      <x:c r="B42" s="15" t="str">
        <x:v>Restorative practices</x:v>
      </x:c>
      <x:c r="C42" s="15" t="str">
        <x:v>2010s onward; district discipline reform</x:v>
      </x:c>
      <x:c r="D42" s="15" t="str">
        <x:v>Whole-child/climate</x:v>
      </x:c>
      <x:c r="E42" s="15" t="str">
        <x:v>Replace exclusionary discipline with relationship repair and community accountability.</x:v>
      </x:c>
      <x:c r="F42" s="15" t="str">
        <x:v>Circles, restorative conferences, staff training, coaching, discipline policy changes</x:v>
      </x:c>
      <x:c r="G42" s="15" t="str">
        <x:v>Schools with high suspension rates</x:v>
      </x:c>
      <x:c r="H42" s="15" t="str">
        <x:v>Cluster RCT; quasi studies; implementation evaluation</x:v>
      </x:c>
      <x:c r="I42" s="15" t="str">
        <x:v>Mixed/conditional</x:v>
      </x:c>
      <x:c r="J42" s="15" t="str">
        <x:v>Suspensions, climate surveys, achievement, safety incidents</x:v>
      </x:c>
      <x:c r="K42" s="15" t="str">
        <x:v>Suspension outcomes change when reporting and discipline policy change; academic effects may vary by grade level.</x:v>
      </x:c>
      <x:c r="L42" s="15" t="str">
        <x:v>Can reduce suspensions and improve climate, but academic effects are not automatically positive and depend on execution.</x:v>
      </x:c>
      <x:c r="M42" s="15" t="str">
        <x:v>https://www.rand.org/pubs/research_briefs/RB10051.html</x:v>
      </x:c>
      <x:c r="N42" s="15" t="str">
        <x:v>discipline; restorative</x:v>
      </x:c>
    </x:row>
    <x:row r="43" ht="74" customHeight="1">
      <x:c r="A43" s="15" t="n">
        <x:v>42</x:v>
      </x:c>
      <x:c r="B43" s="15" t="str">
        <x:v>Attendance and chronic absenteeism interventions</x:v>
      </x:c>
      <x:c r="C43" s="15" t="str">
        <x:v>2010s onward; especially post-pandemic</x:v>
      </x:c>
      <x:c r="D43" s="15" t="str">
        <x:v>Whole-child/climate</x:v>
      </x:c>
      <x:c r="E43" s="15" t="str">
        <x:v>Improve learning by increasing presence and engagement through information, nudges, case management, and supports.</x:v>
      </x:c>
      <x:c r="F43" s="15" t="str">
        <x:v>Parent messaging, attendance teams, transportation, case management, early warning systems</x:v>
      </x:c>
      <x:c r="G43" s="15" t="str">
        <x:v>Chronically absent or at-risk students</x:v>
      </x:c>
      <x:c r="H43" s="15" t="str">
        <x:v>RCTs of messaging; quasi district studies; early warning validation</x:v>
      </x:c>
      <x:c r="I43" s="15" t="str">
        <x:v>Promising causal/quasi</x:v>
      </x:c>
      <x:c r="J43" s="15" t="str">
        <x:v>Attendance, chronic absenteeism, course passing, achievement</x:v>
      </x:c>
      <x:c r="K43" s="15" t="str">
        <x:v>Define chronic absenteeism consistently; compare pre-pandemic and post-pandemic baselines carefully.</x:v>
      </x:c>
      <x:c r="L43" s="15" t="str">
        <x:v>Attendance is a crucial mediator after COVID, but interventions vary from low-cost nudges to intensive case management.</x:v>
      </x:c>
      <x:c r="M43" s="15" t="str">
        <x:v>https://educationrecoveryscorecard.org/</x:v>
      </x:c>
      <x:c r="N43" s="15" t="str">
        <x:v>attendance; absenteeism</x:v>
      </x:c>
    </x:row>
    <x:row r="44" ht="74" customHeight="1">
      <x:c r="A44" s="15" t="n">
        <x:v>43</x:v>
      </x:c>
      <x:c r="B44" s="15" t="str">
        <x:v>Head Start</x:v>
      </x:c>
      <x:c r="C44" s="15" t="str">
        <x:v>1965 onward; federal early childhood</x:v>
      </x:c>
      <x:c r="D44" s="15" t="str">
        <x:v>Early childhood</x:v>
      </x:c>
      <x:c r="E44" s="15" t="str">
        <x:v>Provide preschool, health, nutrition, and family services to improve school readiness for low-income children.</x:v>
      </x:c>
      <x:c r="F44" s="15" t="str">
        <x:v>Preschool access, comprehensive services, family engagement, health screenings</x:v>
      </x:c>
      <x:c r="G44" s="15" t="str">
        <x:v>Low-income 3- and 4-year-olds</x:v>
      </x:c>
      <x:c r="H44" s="15" t="str">
        <x:v>National randomized Head Start Impact Study; follow-ups</x:v>
      </x:c>
      <x:c r="I44" s="15" t="str">
        <x:v>Mixed/conditional</x:v>
      </x:c>
      <x:c r="J44" s="15" t="str">
        <x:v>School readiness, cognition, parent practices, later school outcomes</x:v>
      </x:c>
      <x:c r="K44" s="15" t="str">
        <x:v>Control children may access other care; fadeout on tests does not rule out later non-test effects.</x:v>
      </x:c>
      <x:c r="L44" s="15" t="str">
        <x:v>The national RCT found early positive impacts with substantial fadeout on many early academic measures.</x:v>
      </x:c>
      <x:c r="M44" s="15" t="str">
        <x:v>https://eric.ed.gov/?id=ED507845</x:v>
      </x:c>
      <x:c r="N44" s="15" t="str">
        <x:v>early childhood; federal</x:v>
      </x:c>
    </x:row>
    <x:row r="45" ht="74" customHeight="1">
      <x:c r="A45" s="15" t="n">
        <x:v>44</x:v>
      </x:c>
      <x:c r="B45" s="15" t="str">
        <x:v>Perry Preschool / Abecedarian-style intensive early childhood</x:v>
      </x:c>
      <x:c r="C45" s="15" t="str">
        <x:v>1960s-1970s experiments; long-term follow-up</x:v>
      </x:c>
      <x:c r="D45" s="15" t="str">
        <x:v>Early childhood</x:v>
      </x:c>
      <x:c r="E45" s="15" t="str">
        <x:v>High-quality early education plus family engagement can produce long-run human capital and social benefits.</x:v>
      </x:c>
      <x:c r="F45" s="15" t="str">
        <x:v>Low ratios, highly trained teachers, home visits, intensive early learning, health/nutrition supports</x:v>
      </x:c>
      <x:c r="G45" s="15" t="str">
        <x:v>Small samples of disadvantaged children</x:v>
      </x:c>
      <x:c r="H45" s="15" t="str">
        <x:v>Randomized experiments; long-term administrative/survey follow-up</x:v>
      </x:c>
      <x:c r="I45" s="15" t="str">
        <x:v>Strong causal evidence</x:v>
      </x:c>
      <x:c r="J45" s="15" t="str">
        <x:v>Education, earnings, health, crime, welfare, intergenerational outcomes</x:v>
      </x:c>
      <x:c r="K45" s="15" t="str">
        <x:v>Historic small samples and unusually intensive models may not generalize to scaled public pre-K.</x:v>
      </x:c>
      <x:c r="L45" s="15" t="str">
        <x:v>Classic studies show large long-run benefits, but they are not evidence that every scaled pre-K program will replicate them.</x:v>
      </x:c>
      <x:c r="M45" s="15" t="str">
        <x:v>https://cehd.uchicago.edu/?page_id=958</x:v>
      </x:c>
      <x:c r="N45" s="15" t="str">
        <x:v>early childhood; long-run</x:v>
      </x:c>
    </x:row>
    <x:row r="46" ht="74" customHeight="1">
      <x:c r="A46" s="15" t="n">
        <x:v>45</x:v>
      </x:c>
      <x:c r="B46" s="15" t="str">
        <x:v>Tennessee Voluntary Pre-K</x:v>
      </x:c>
      <x:c r="C46" s="15" t="str">
        <x:v>2009 onward evaluation; statewide pre-K</x:v>
      </x:c>
      <x:c r="D46" s="15" t="str">
        <x:v>Early childhood</x:v>
      </x:c>
      <x:c r="E46" s="15" t="str">
        <x:v>State-funded pre-K should improve readiness for low-income 4-year-olds and later school success.</x:v>
      </x:c>
      <x:c r="F46" s="15" t="str">
        <x:v>Pre-K access, curriculum, classroom quality, teacher credentials, state oversight</x:v>
      </x:c>
      <x:c r="G46" s="15" t="str">
        <x:v>Low-income 4-year-olds in Tennessee</x:v>
      </x:c>
      <x:c r="H46" s="15" t="str">
        <x:v>Longitudinal RCT in oversubscribed sites; RDD component</x:v>
      </x:c>
      <x:c r="I46" s="15" t="str">
        <x:v>Mixed/conditional</x:v>
      </x:c>
      <x:c r="J46" s="15" t="str">
        <x:v>School readiness, achievement, special education, discipline, retention, high school outcomes</x:v>
      </x:c>
      <x:c r="K46" s="15" t="str">
        <x:v>RCT estimates apply to oversubscribed programs; quality and counterfactual care differ from other states.</x:v>
      </x:c>
      <x:c r="L46" s="15" t="str">
        <x:v>A cautionary scaled pre-K case: short-run gains did not translate into broad long-run academic benefits in the evaluation.</x:v>
      </x:c>
      <x:c r="M46" s="15" t="str">
        <x:v>https://my.vanderbilt.edu/tnprekevaluation/</x:v>
      </x:c>
      <x:c r="N46" s="15" t="str">
        <x:v>pre-K; scale</x:v>
      </x:c>
    </x:row>
    <x:row r="47" ht="74" customHeight="1">
      <x:c r="A47" s="15" t="n">
        <x:v>46</x:v>
      </x:c>
      <x:c r="B47" s="15" t="str">
        <x:v>Boston universal pre-K</x:v>
      </x:c>
      <x:c r="C47" s="15" t="str">
        <x:v>1997 onward cohorts; lottery evaluation</x:v>
      </x:c>
      <x:c r="D47" s="15" t="str">
        <x:v>Early childhood</x:v>
      </x:c>
      <x:c r="E47" s="15" t="str">
        <x:v>High-quality public pre-K can improve long-run attainment and behavior even when test effects fade.</x:v>
      </x:c>
      <x:c r="F47" s="15" t="str">
        <x:v>Public pre-K access, teacher quality, curriculum, centralized enrollment, classroom quality</x:v>
      </x:c>
      <x:c r="G47" s="15" t="str">
        <x:v>Boston 4-year-olds</x:v>
      </x:c>
      <x:c r="H47" s="15" t="str">
        <x:v>Admissions lottery; long-term administrative follow-up</x:v>
      </x:c>
      <x:c r="I47" s="15" t="str">
        <x:v>Strong causal evidence</x:v>
      </x:c>
      <x:c r="J47" s="15" t="str">
        <x:v>SAT-taking, college enrollment, graduation, discipline, state test scores</x:v>
      </x:c>
      <x:c r="K47" s="15" t="str">
        <x:v>Lottery applicants and Boston implementation may not generalize; long-term non-test outcomes are essential.</x:v>
      </x:c>
      <x:c r="L47" s="15" t="str">
        <x:v>Shows that test-score fadeout can coexist with meaningful long-run gains in college and discipline outcomes.</x:v>
      </x:c>
      <x:c r="M47" s="15" t="str">
        <x:v>https://www.nber.org/papers/w28756</x:v>
      </x:c>
      <x:c r="N47" s="15" t="str">
        <x:v>pre-K; lottery; long-run</x:v>
      </x:c>
    </x:row>
    <x:row r="48" ht="74" customHeight="1">
      <x:c r="A48" s="15" t="n">
        <x:v>47</x:v>
      </x:c>
      <x:c r="B48" s="15" t="str">
        <x:v>Full-day kindergarten</x:v>
      </x:c>
      <x:c r="C48" s="15" t="str">
        <x:v>1970s onward; district/state</x:v>
      </x:c>
      <x:c r="D48" s="15" t="str">
        <x:v>Time/dosage</x:v>
      </x:c>
      <x:c r="E48" s="15" t="str">
        <x:v>More early instructional time improves readiness and early academic skills.</x:v>
      </x:c>
      <x:c r="F48" s="15" t="str">
        <x:v>Length of kindergarten day, curriculum, teacher staffing, childcare replacement</x:v>
      </x:c>
      <x:c r="G48" s="15" t="str">
        <x:v>Kindergarten students</x:v>
      </x:c>
      <x:c r="H48" s="15" t="str">
        <x:v>Quasi studies; district/state comparisons</x:v>
      </x:c>
      <x:c r="I48" s="15" t="str">
        <x:v>Mixed/conditional</x:v>
      </x:c>
      <x:c r="J48" s="15" t="str">
        <x:v>Early literacy/math, attendance, later achievement</x:v>
      </x:c>
      <x:c r="K48" s="15" t="str">
        <x:v>Need distinguish added instructional time from childcare and from selection into full-day programs.</x:v>
      </x:c>
      <x:c r="L48" s="15" t="str">
        <x:v>Often improves short-run early skills, but durability varies with subsequent instruction quality.</x:v>
      </x:c>
      <x:c r="M48" s="15" t="str">
        <x:v>https://edworkingpapers.com/sites/default/files/Kraft%20Novicoff%20-%20Time%20In%20School%20-%20Feb%202024_1.pdf</x:v>
      </x:c>
      <x:c r="N48" s="15" t="str">
        <x:v>kindergarten; time</x:v>
      </x:c>
    </x:row>
    <x:row r="49" ht="74" customHeight="1">
      <x:c r="A49" s="15" t="n">
        <x:v>48</x:v>
      </x:c>
      <x:c r="B49" s="15" t="str">
        <x:v>Summer learning programs</x:v>
      </x:c>
      <x:c r="C49" s="15" t="str">
        <x:v>2000s onward; district-led and philanthropic</x:v>
      </x:c>
      <x:c r="D49" s="15" t="str">
        <x:v>Time/dosage</x:v>
      </x:c>
      <x:c r="E49" s="15" t="str">
        <x:v>Add structured academic and enrichment time during summer to reduce summer learning loss.</x:v>
      </x:c>
      <x:c r="F49" s="15" t="str">
        <x:v>Program days, hours, attendance, teacher quality, curriculum, enrichment, transportation</x:v>
      </x:c>
      <x:c r="G49" s="15" t="str">
        <x:v>Elementary and middle school students, often low-income</x:v>
      </x:c>
      <x:c r="H49" s="15" t="str">
        <x:v>RCTs; implementation studies</x:v>
      </x:c>
      <x:c r="I49" s="15" t="str">
        <x:v>Promising causal/quasi</x:v>
      </x:c>
      <x:c r="J49" s="15" t="str">
        <x:v>Math/reading scores, attendance, SEL/enrichment participation</x:v>
      </x:c>
      <x:c r="K49" s="15" t="str">
        <x:v>Attendance is pivotal; researchers compare invitation, enrollment, and high-attendance treatment-on-treated effects.</x:v>
      </x:c>
      <x:c r="L49" s="15" t="str">
        <x:v>Benefits are clearest for students who attend enough days and receive well-planned instruction.</x:v>
      </x:c>
      <x:c r="M49" s="15" t="str">
        <x:v>https://www.rand.org/education-employment-infrastructure/projects/national-summer-learning-project.html</x:v>
      </x:c>
      <x:c r="N49" s="15" t="str">
        <x:v>summer; time</x:v>
      </x:c>
    </x:row>
    <x:row r="50" ht="74" customHeight="1">
      <x:c r="A50" s="15" t="n">
        <x:v>49</x:v>
      </x:c>
      <x:c r="B50" s="15" t="str">
        <x:v>Extended learning time / longer day or year</x:v>
      </x:c>
      <x:c r="C50" s="15" t="str">
        <x:v>2000s onward; charter/district/state</x:v>
      </x:c>
      <x:c r="D50" s="15" t="str">
        <x:v>Time/dosage</x:v>
      </x:c>
      <x:c r="E50" s="15" t="str">
        <x:v>More time can increase active learning, enrichment, tutoring, and teacher collaboration.</x:v>
      </x:c>
      <x:c r="F50" s="15" t="str">
        <x:v>Minutes/day, days/year, block scheduling, teacher planning time, enrichment</x:v>
      </x:c>
      <x:c r="G50" s="15" t="str">
        <x:v>Schools and districts</x:v>
      </x:c>
      <x:c r="H50" s="15" t="str">
        <x:v>Causal synthesis; quasi studies; RCTs in specific models</x:v>
      </x:c>
      <x:c r="I50" s="15" t="str">
        <x:v>Promising causal/quasi</x:v>
      </x:c>
      <x:c r="J50" s="15" t="str">
        <x:v>Achievement, attendance, enrichment, teacher collaboration</x:v>
      </x:c>
      <x:c r="K50" s="15" t="str">
        <x:v>Normalize by active learning time, not scheduled time; additional time can be low-value if poorly used.</x:v>
      </x:c>
      <x:c r="L50" s="15" t="str">
        <x:v>Additional time has generally positive but context-sensitive effects, often small to moderate depending on dosage and use.</x:v>
      </x:c>
      <x:c r="M50" s="15" t="str">
        <x:v>https://edworkingpapers.com/sites/default/files/Kraft%20Novicoff%20-%20Time%20In%20School%20-%20Feb%202024_1.pdf</x:v>
      </x:c>
      <x:c r="N50" s="15" t="str">
        <x:v>time; schedule</x:v>
      </x:c>
    </x:row>
    <x:row r="51" ht="74" customHeight="1">
      <x:c r="A51" s="15" t="n">
        <x:v>50</x:v>
      </x:c>
      <x:c r="B51" s="15" t="str">
        <x:v>Four-day school week</x:v>
      </x:c>
      <x:c r="C51" s="15" t="str">
        <x:v>2000s onward; rural districts increasing</x:v>
      </x:c>
      <x:c r="D51" s="15" t="str">
        <x:v>Time/dosage</x:v>
      </x:c>
      <x:c r="E51" s="15" t="str">
        <x:v>Condense schedules for cost savings, teacher recruitment, or community preference, sometimes without reducing learning.</x:v>
      </x:c>
      <x:c r="F51" s="15" t="str">
        <x:v>School days/week, daily minutes, total annual hours, attendance, teacher recruitment</x:v>
      </x:c>
      <x:c r="G51" s="15" t="str">
        <x:v>Mostly rural districts</x:v>
      </x:c>
      <x:c r="H51" s="15" t="str">
        <x:v>Difference-in-differences; state comparisons</x:v>
      </x:c>
      <x:c r="I51" s="15" t="str">
        <x:v>Mixed/conditional</x:v>
      </x:c>
      <x:c r="J51" s="15" t="str">
        <x:v>Achievement, attendance, teacher retention, finances</x:v>
      </x:c>
      <x:c r="K51" s="15" t="str">
        <x:v>Total instructional hours and district selection are central; not designed primarily as learning intervention.</x:v>
      </x:c>
      <x:c r="L51" s="15" t="str">
        <x:v>Evidence is mixed and often negative when total learning time drops, making it a cautionary time-policy case.</x:v>
      </x:c>
      <x:c r="M51" s="15" t="str">
        <x:v>https://edworkingpapers.com/sites/default/files/Kraft%20Novicoff%20-%20Time%20In%20School%20-%20Feb%202024_1.pdf</x:v>
      </x:c>
      <x:c r="N51" s="15" t="str">
        <x:v>four-day week; time</x:v>
      </x:c>
    </x:row>
    <x:row r="52" ht="74" customHeight="1">
      <x:c r="A52" s="15" t="n">
        <x:v>51</x:v>
      </x:c>
      <x:c r="B52" s="15" t="str">
        <x:v>One-to-one devices / laptop initiatives</x:v>
      </x:c>
      <x:c r="C52" s="15" t="str">
        <x:v>2000s onward; district/state</x:v>
      </x:c>
      <x:c r="D52" s="15" t="str">
        <x:v>Technology</x:v>
      </x:c>
      <x:c r="E52" s="15" t="str">
        <x:v>Universal device access enables digital writing, research, collaboration, personalization, and equity of access.</x:v>
      </x:c>
      <x:c r="F52" s="15" t="str">
        <x:v>Devices, broadband, LMS, teacher training, digital content, home access</x:v>
      </x:c>
      <x:c r="G52" s="15" t="str">
        <x:v>Students in device programs</x:v>
      </x:c>
      <x:c r="H52" s="15" t="str">
        <x:v>Meta-analysis; quasi studies; implementation research</x:v>
      </x:c>
      <x:c r="I52" s="15" t="str">
        <x:v>Mixed/conditional</x:v>
      </x:c>
      <x:c r="J52" s="15" t="str">
        <x:v>ELA/writing/math/science scores, digital literacy, usage logs</x:v>
      </x:c>
      <x:c r="K52" s="15" t="str">
        <x:v>Separate access from active academic use; device effects depend on teacher practice and content quality.</x:v>
      </x:c>
      <x:c r="L52" s="15" t="str">
        <x:v>Meta-analytic evidence shows some positive average effects, but technology access alone is not an instructional model.</x:v>
      </x:c>
      <x:c r="M52" s="15" t="str">
        <x:v>https://scholar.usuhs.edu/en/publications/learning-in-one-to-one-laptop-environments-a-meta-analysis-and-re/; https://www.oecd.org/en/publications/students-computers-and-learning_9789264239555-en.html</x:v>
      </x:c>
      <x:c r="N52" s="15" t="str">
        <x:v>devices; edtech</x:v>
      </x:c>
    </x:row>
    <x:row r="53" ht="74" customHeight="1">
      <x:c r="A53" s="15" t="n">
        <x:v>52</x:v>
      </x:c>
      <x:c r="B53" s="15" t="str">
        <x:v>Adaptive and personalized learning platforms</x:v>
      </x:c>
      <x:c r="C53" s="15" t="str">
        <x:v>2010s onward; software adoption</x:v>
      </x:c>
      <x:c r="D53" s="15" t="str">
        <x:v>Technology</x:v>
      </x:c>
      <x:c r="E53" s="15" t="str">
        <x:v>Algorithms and dashboards tailor practice and feedback to each student's level.</x:v>
      </x:c>
      <x:c r="F53" s="15" t="str">
        <x:v>Adaptive software minutes, mastery thresholds, item banks, teacher dashboard use, grouping</x:v>
      </x:c>
      <x:c r="G53" s="15" t="str">
        <x:v>Math/reading students in blended classrooms</x:v>
      </x:c>
      <x:c r="H53" s="15" t="str">
        <x:v>RCTs; matched comparison; usage-log studies</x:v>
      </x:c>
      <x:c r="I53" s="15" t="str">
        <x:v>Mixed/conditional</x:v>
      </x:c>
      <x:c r="J53" s="15" t="str">
        <x:v>Test scores, platform mastery, minutes, completion</x:v>
      </x:c>
      <x:c r="K53" s="15" t="str">
        <x:v>Usage minutes are endogenous; compare teacher-mediated integration and curricular alignment.</x:v>
      </x:c>
      <x:c r="L53" s="15" t="str">
        <x:v>Effects range from positive to null; platforms work best as part of coherent instruction rather than stand-alone screen time.</x:v>
      </x:c>
      <x:c r="M53" s="15" t="str">
        <x:v>https://www.rand.org/pubs/research_reports/RR1365.html; https://www.oecd.org/en/publications/students-computers-and-learning_9789264239555-en.html</x:v>
      </x:c>
      <x:c r="N53" s="15" t="str">
        <x:v>adaptive learning; blended learning</x:v>
      </x:c>
    </x:row>
    <x:row r="54" ht="74" customHeight="1">
      <x:c r="A54" s="15" t="n">
        <x:v>53</x:v>
      </x:c>
      <x:c r="B54" s="15" t="str">
        <x:v>Generative AI tutoring and AI-school pilots</x:v>
      </x:c>
      <x:c r="C54" s="15" t="str">
        <x:v>2023 onward; emerging</x:v>
      </x:c>
      <x:c r="D54" s="15" t="str">
        <x:v>Technology</x:v>
      </x:c>
      <x:c r="E54" s="15" t="str">
        <x:v>AI tutors or teacher copilots may provide scalable feedback, practice, differentiation, and planning support.</x:v>
      </x:c>
      <x:c r="F54" s="15" t="str">
        <x:v>AI chat/tutoring, guardrails, teacher oversight, prompt design, feedback loops, usage logs</x:v>
      </x:c>
      <x:c r="G54" s="15" t="str">
        <x:v>Students and teachers in pilot schools</x:v>
      </x:c>
      <x:c r="H54" s="15" t="str">
        <x:v>Pilot studies; early RCTs mostly outside K-12; systematic reviews</x:v>
      </x:c>
      <x:c r="I54" s="15" t="str">
        <x:v>Limited/descriptive</x:v>
      </x:c>
      <x:c r="J54" s="15" t="str">
        <x:v>Usage, engagement, homework, formative performance, teacher time, safety incidents</x:v>
      </x:c>
      <x:c r="K54" s="15" t="str">
        <x:v>K-12 causal evidence is early; compare AI-mediated practice to human tutoring and to no-support screen time.</x:v>
      </x:c>
      <x:c r="L54" s="15" t="str">
        <x:v>Treat AI as an emerging tool, not a proven replacement for teacher-led instruction or high-dosage tutoring.</x:v>
      </x:c>
      <x:c r="M54" s="15" t="str">
        <x:v>https://www.frontiersin.org/journals/education/articles/10.3389/feduc.2025.1647573/full</x:v>
      </x:c>
      <x:c r="N54" s="15" t="str">
        <x:v>AI; tutoring; emerging</x:v>
      </x:c>
    </x:row>
    <x:row r="55" ht="74" customHeight="1">
      <x:c r="A55" s="15" t="n">
        <x:v>54</x:v>
      </x:c>
      <x:c r="B55" s="15" t="str">
        <x:v>Career Academies</x:v>
      </x:c>
      <x:c r="C55" s="15" t="str">
        <x:v>1990s onward evaluation; national model</x:v>
      </x:c>
      <x:c r="D55" s="15" t="str">
        <x:v>Postsecondary/CTE</x:v>
      </x:c>
      <x:c r="E55" s="15" t="str">
        <x:v>Small learning communities that integrate academics, career themes, and employer links improve transitions to adulthood.</x:v>
      </x:c>
      <x:c r="F55" s="15" t="str">
        <x:v>Career theme, academic/technical integration, employer partnerships, work-based learning, cohorts</x:v>
      </x:c>
      <x:c r="G55" s="15" t="str">
        <x:v>High school students</x:v>
      </x:c>
      <x:c r="H55" s="15" t="str">
        <x:v>Random assignment longitudinal evaluation</x:v>
      </x:c>
      <x:c r="I55" s="15" t="str">
        <x:v>Strong causal evidence</x:v>
      </x:c>
      <x:c r="J55" s="15" t="str">
        <x:v>Earnings, employment, postsecondary, credits, graduation</x:v>
      </x:c>
      <x:c r="K55" s="15" t="str">
        <x:v>Random assignment applies to schools able to implement core features; adult labor outcomes matter more than test scores alone.</x:v>
      </x:c>
      <x:c r="L55" s="15" t="str">
        <x:v>One of the strongest CTE-related causal studies, with notable long-run earnings effects especially for young men.</x:v>
      </x:c>
      <x:c r="M55" s="15" t="str">
        <x:v>https://www.mdrc.org/work/publications/career-academies-long-term-impacts-work-education-and-transitions-adulthood</x:v>
      </x:c>
      <x:c r="N55" s="15" t="str">
        <x:v>CTE; career academies</x:v>
      </x:c>
    </x:row>
    <x:row r="56" ht="74" customHeight="1">
      <x:c r="A56" s="15" t="n">
        <x:v>55</x:v>
      </x:c>
      <x:c r="B56" s="15" t="str">
        <x:v>Modern CTE pathways and concentrator programs</x:v>
      </x:c>
      <x:c r="C56" s="15" t="str">
        <x:v>2010s onward; state and district</x:v>
      </x:c>
      <x:c r="D56" s="15" t="str">
        <x:v>Postsecondary/CTE</x:v>
      </x:c>
      <x:c r="E56" s="15" t="str">
        <x:v>Structured career pathways improve relevance, credentials, completion, and employment without sacrificing academics.</x:v>
      </x:c>
      <x:c r="F56" s="15" t="str">
        <x:v>Course sequences, industry credentials, work-based learning, dual credit, employer partnerships</x:v>
      </x:c>
      <x:c r="G56" s="15" t="str">
        <x:v>High school students</x:v>
      </x:c>
      <x:c r="H56" s="15" t="str">
        <x:v>Systematic reviews; quasi studies; administrative data</x:v>
      </x:c>
      <x:c r="I56" s="15" t="str">
        <x:v>Promising causal/quasi</x:v>
      </x:c>
      <x:c r="J56" s="15" t="str">
        <x:v>Graduation, credentials, attendance, college readiness, employment, earnings</x:v>
      </x:c>
      <x:c r="K56" s="15" t="str">
        <x:v>Selection into CTE is a major issue; normalize by pathway quality, sequence completion, and labor-market alignment.</x:v>
      </x:c>
      <x:c r="L56" s="15" t="str">
        <x:v>Evidence is increasingly positive for completion and college/career readiness, but quality varies by pathway.</x:v>
      </x:c>
      <x:c r="M56" s="15" t="str">
        <x:v>https://cteresearchnetwork.org/resources/2024-systematic-review</x:v>
      </x:c>
      <x:c r="N56" s="15" t="str">
        <x:v>CTE; pathways</x:v>
      </x:c>
    </x:row>
    <x:row r="57" ht="74" customHeight="1">
      <x:c r="A57" s="15" t="n">
        <x:v>56</x:v>
      </x:c>
      <x:c r="B57" s="15" t="str">
        <x:v>Early College High Schools</x:v>
      </x:c>
      <x:c r="C57" s="15" t="str">
        <x:v>2002 onward; national network</x:v>
      </x:c>
      <x:c r="D57" s="15" t="str">
        <x:v>Postsecondary/CTE</x:v>
      </x:c>
      <x:c r="E57" s="15" t="str">
        <x:v>Combine high school and college coursework so students earn credits and build college-going identity earlier.</x:v>
      </x:c>
      <x:c r="F57" s="15" t="str">
        <x:v>Dual enrollment, small school design, college partnership, supports, accelerated credits</x:v>
      </x:c>
      <x:c r="G57" s="15" t="str">
        <x:v>Students underrepresented in college</x:v>
      </x:c>
      <x:c r="H57" s="15" t="str">
        <x:v>Randomized/lms lottery evaluation; long-term follow-up</x:v>
      </x:c>
      <x:c r="I57" s="15" t="str">
        <x:v>Strong causal evidence</x:v>
      </x:c>
      <x:c r="J57" s="15" t="str">
        <x:v>College enrollment, credits, degree attainment, high school graduation</x:v>
      </x:c>
      <x:c r="K57" s="15" t="str">
        <x:v>Lottery/randomized access estimates are strong; compare credit quality and transferability.</x:v>
      </x:c>
      <x:c r="L57" s="15" t="str">
        <x:v>One of the strongest causal postsecondary-readiness models, with positive impacts on college enrollment and degree attainment.</x:v>
      </x:c>
      <x:c r="M57" s="15" t="str">
        <x:v>https://nces.ed.gov/use-work/awards/air-early-college-follow-efficacy-study</x:v>
      </x:c>
      <x:c r="N57" s="15" t="str">
        <x:v>early college; dual enrollment</x:v>
      </x:c>
    </x:row>
    <x:row r="58" ht="74" customHeight="1">
      <x:c r="A58" s="15" t="n">
        <x:v>57</x:v>
      </x:c>
      <x:c r="B58" s="15" t="str">
        <x:v>Dual enrollment / AP and advanced coursework expansion</x:v>
      </x:c>
      <x:c r="C58" s="15" t="str">
        <x:v>1990s onward; rapidly expanding</x:v>
      </x:c>
      <x:c r="D58" s="15" t="str">
        <x:v>Postsecondary/CTE</x:v>
      </x:c>
      <x:c r="E58" s="15" t="str">
        <x:v>Earlier access to college-level coursework raises expectations and reduces college credit/time barriers.</x:v>
      </x:c>
      <x:c r="F58" s="15" t="str">
        <x:v>Course access, eligibility rules, tuition support, instructor qualifications, credit transfer, exams</x:v>
      </x:c>
      <x:c r="G58" s="15" t="str">
        <x:v>High school juniors/seniors and advanced students</x:v>
      </x:c>
      <x:c r="H58" s="15" t="str">
        <x:v>Quasi studies; administrative evaluations; descriptive trend</x:v>
      </x:c>
      <x:c r="I58" s="15" t="str">
        <x:v>Promising causal/quasi</x:v>
      </x:c>
      <x:c r="J58" s="15" t="str">
        <x:v>Credits earned, exam scores, college enrollment, persistence, degree completion</x:v>
      </x:c>
      <x:c r="K58" s="15" t="str">
        <x:v>Selection is large; researchers use eligibility cutoffs, school fixed effects, and prior achievement controls.</x:v>
      </x:c>
      <x:c r="L58" s="15" t="str">
        <x:v>Advanced access can help, but expansion must track pass rates, credit quality, and whether support keeps up with access.</x:v>
      </x:c>
      <x:c r="M58" s="15" t="str">
        <x:v>https://nces.ed.gov/use-work/evaluations/outcomes-associated-dual-enrollment-programs</x:v>
      </x:c>
      <x:c r="N58" s="15" t="str">
        <x:v>dual enrollment; AP</x:v>
      </x:c>
    </x:row>
    <x:row r="59" ht="74" customHeight="1">
      <x:c r="A59" s="15" t="n">
        <x:v>58</x:v>
      </x:c>
      <x:c r="B59" s="15" t="str">
        <x:v>Algebra for All / college-preparatory curriculum for all</x:v>
      </x:c>
      <x:c r="C59" s="15" t="str">
        <x:v>1990s-2000s; Chicago and elsewhere</x:v>
      </x:c>
      <x:c r="D59" s="15" t="str">
        <x:v>Postsecondary/CTE</x:v>
      </x:c>
      <x:c r="E59" s="15" t="str">
        <x:v>Ending remedial tracks and requiring college-prep coursework increases rigor and access.</x:v>
      </x:c>
      <x:c r="F59" s="15" t="str">
        <x:v>Required Algebra I, elimination of remedial tracks, course placement rules, curriculum requirements</x:v>
      </x:c>
      <x:c r="G59" s="15" t="str">
        <x:v>Ninth-grade students</x:v>
      </x:c>
      <x:c r="H59" s="15" t="str">
        <x:v>Interrupted time series; cohort comparisons</x:v>
      </x:c>
      <x:c r="I59" s="15" t="str">
        <x:v>Mixed/conditional</x:v>
      </x:c>
      <x:c r="J59" s="15" t="str">
        <x:v>Course taking, grades, failures, test scores, college outcomes</x:v>
      </x:c>
      <x:c r="K59" s="15" t="str">
        <x:v>Access metrics can improve while learning falls if supports are insufficient; compare course standards and failure rates.</x:v>
      </x:c>
      <x:c r="L59" s="15" t="str">
        <x:v>The Chicago case reduced course-taking inequities but increased failures and did not clearly improve achievement or college outcomes.</x:v>
      </x:c>
      <x:c r="M59" s="15" t="str">
        <x:v>https://consortium.uchicago.edu/publications/college-preparatory-curriculum-all-consequences-ninth-grade-coursetaking-algebra-and</x:v>
      </x:c>
      <x:c r="N59" s="15" t="str">
        <x:v>detracking; algebra; rigor</x:v>
      </x:c>
    </x:row>
    <x:row r="60" ht="74" customHeight="1">
      <x:c r="A60" s="15" t="n">
        <x:v>59</x:v>
      </x:c>
      <x:c r="B60" s="15" t="str">
        <x:v>AVID and college-readiness support models</x:v>
      </x:c>
      <x:c r="C60" s="15" t="str">
        <x:v>1980s onward; national</x:v>
      </x:c>
      <x:c r="D60" s="15" t="str">
        <x:v>Postsecondary/CTE</x:v>
      </x:c>
      <x:c r="E60" s="15" t="str">
        <x:v>Teach academic habits, tutoring, relational support, and college knowledge to students near the academic middle.</x:v>
      </x:c>
      <x:c r="F60" s="15" t="str">
        <x:v>Elective course, tutoring, note-taking, college visits, teacher teams, cohort support</x:v>
      </x:c>
      <x:c r="G60" s="15" t="str">
        <x:v>Middle and high school students</x:v>
      </x:c>
      <x:c r="H60" s="15" t="str">
        <x:v>Quasi/descriptive studies; implementation reports</x:v>
      </x:c>
      <x:c r="I60" s="15" t="str">
        <x:v>Mixed/conditional</x:v>
      </x:c>
      <x:c r="J60" s="15" t="str">
        <x:v>Course taking, GPA, graduation, college enrollment</x:v>
      </x:c>
      <x:c r="K60" s="15" t="str">
        <x:v>Selection into AVID and school implementation are hard to separate from program effects.</x:v>
      </x:c>
      <x:c r="L60" s="15" t="str">
        <x:v>Widely used and plausible, but causal evidence is less clean than for early college lotteries.</x:v>
      </x:c>
      <x:c r="M60" s="15" t="str">
        <x:v>https://ies.ed.gov/ncee/wwc/</x:v>
      </x:c>
      <x:c r="N60" s="15" t="str">
        <x:v>college readiness; AVID</x:v>
      </x:c>
    </x:row>
    <x:row r="61" ht="74" customHeight="1">
      <x:c r="A61" s="15" t="n">
        <x:v>60</x:v>
      </x:c>
      <x:c r="B61" s="15" t="str">
        <x:v>School finance reforms / adequacy and equity funding</x:v>
      </x:c>
      <x:c r="C61" s="15" t="str">
        <x:v>1970s onward; court/state reforms</x:v>
      </x:c>
      <x:c r="D61" s="15" t="str">
        <x:v>Finance/recovery</x:v>
      </x:c>
      <x:c r="E61" s="15" t="str">
        <x:v>More and better-targeted resources can improve school quality, student achievement, and long-run outcomes.</x:v>
      </x:c>
      <x:c r="F61" s="15" t="str">
        <x:v>Per-pupil spending, funding formula weights, capital and operating funds, staffing, salaries, class size</x:v>
      </x:c>
      <x:c r="G61" s="15" t="str">
        <x:v>Districts/students affected by formula reforms</x:v>
      </x:c>
      <x:c r="H61" s="15" t="str">
        <x:v>Court-mandated reform event studies; difference-in-differences; administrative cohorts</x:v>
      </x:c>
      <x:c r="I61" s="15" t="str">
        <x:v>Strong causal evidence</x:v>
      </x:c>
      <x:c r="J61" s="15" t="str">
        <x:v>Achievement, graduation, adult earnings, poverty, school resources</x:v>
      </x:c>
      <x:c r="K61" s="15" t="str">
        <x:v>Use inflation-adjusted per-pupil spending, exposure years, district fixed effects, and pre-trend checks.</x:v>
      </x:c>
      <x:c r="L61" s="15" t="str">
        <x:v>Modern causal finance research rejects the simple 'money does not matter' claim: sustained targeted dollars can matter.</x:v>
      </x:c>
      <x:c r="M61" s="15" t="str">
        <x:v>https://academic.oup.com/qje/article-abstract/131/1/157/2461148</x:v>
      </x:c>
      <x:c r="N61" s="15" t="str">
        <x:v>finance; resources</x:v>
      </x:c>
    </x:row>
    <x:row r="62" ht="74" customHeight="1">
      <x:c r="A62" s="15" t="n">
        <x:v>61</x:v>
      </x:c>
      <x:c r="B62" s="15" t="str">
        <x:v>ESSER and pandemic recovery initiatives</x:v>
      </x:c>
      <x:c r="C62" s="15" t="str">
        <x:v>2020-2024 funds; ongoing recovery</x:v>
      </x:c>
      <x:c r="D62" s="15" t="str">
        <x:v>Finance/recovery</x:v>
      </x:c>
      <x:c r="E62" s="15" t="str">
        <x:v>Federal relief dollars should support recovery through tutoring, summer learning, staffing, mental health, technology, and HVAC/safety.</x:v>
      </x:c>
      <x:c r="F62" s="15" t="str">
        <x:v>Relief spending per pupil, tutoring, summer/enrichment, staffing, HVAC, mental health, edtech</x:v>
      </x:c>
      <x:c r="G62" s="15" t="str">
        <x:v>Districts and states after COVID disruptions</x:v>
      </x:c>
      <x:c r="H62" s="15" t="str">
        <x:v>District recovery scorecards; NAEP/state trends; spending/outcome analysis</x:v>
      </x:c>
      <x:c r="I62" s="15" t="str">
        <x:v>Promising causal/quasi</x:v>
      </x:c>
      <x:c r="J62" s="15" t="str">
        <x:v>NAEP, state tests, achievement recovery, absenteeism, spending categories</x:v>
      </x:c>
      <x:c r="K62" s="15" t="str">
        <x:v>Spending categories are broad; local recovery depends on closure length, absenteeism, staffing, and baseline losses.</x:v>
      </x:c>
      <x:c r="L62" s="15" t="str">
        <x:v>Relief funding appears to have aided recovery in many places, but which components drove gains varies by district.</x:v>
      </x:c>
      <x:c r="M62" s="15" t="str">
        <x:v>https://educationrecoveryscorecard.org/; https://nces.ed.gov/nationsreportcard/</x:v>
      </x:c>
      <x:c r="N62" s="15" t="str">
        <x:v>pandemic recovery; ESSER</x:v>
      </x:c>
    </x:row>
    <x:row r="63" ht="74" customHeight="1">
      <x:c r="A63" s="15" t="n">
        <x:v>62</x:v>
      </x:c>
      <x:c r="B63" s="15" t="str">
        <x:v>Remote learning and virtual schooling during COVID</x:v>
      </x:c>
      <x:c r="C63" s="15" t="str">
        <x:v>2020-2022; emergency and ongoing virtual</x:v>
      </x:c>
      <x:c r="D63" s="15" t="str">
        <x:v>Technology</x:v>
      </x:c>
      <x:c r="E63" s="15" t="str">
        <x:v>Maintain continuity when in-person schooling is disrupted or provide flexible virtual options.</x:v>
      </x:c>
      <x:c r="F63" s="15" t="str">
        <x:v>Remote modality, synchronous time, devices, broadband, LMS, teacher adaptation, family supervision</x:v>
      </x:c>
      <x:c r="G63" s="15" t="str">
        <x:v>K-12 students during school closures or virtual programs</x:v>
      </x:c>
      <x:c r="H63" s="15" t="str">
        <x:v>Natural experiments; state/district closure comparisons; descriptive data</x:v>
      </x:c>
      <x:c r="I63" s="15" t="str">
        <x:v>Mixed/conditional</x:v>
      </x:c>
      <x:c r="J63" s="15" t="str">
        <x:v>Learning loss/recovery, attendance, engagement, course completion</x:v>
      </x:c>
      <x:c r="K63" s="15" t="str">
        <x:v>Remote schooling was not one intervention; closure length, home conditions, and prior district capacity are confounded.</x:v>
      </x:c>
      <x:c r="L63" s="15" t="str">
        <x:v>Emergency remote learning was generally associated with large losses, especially when it replaced in-person schooling for long periods.</x:v>
      </x:c>
      <x:c r="M63" s="15" t="str">
        <x:v>https://educationrecoveryscorecard.org/; https://www.oecd.org/en/publications/students-computers-and-learning_9789264239555-en.html</x:v>
      </x:c>
      <x:c r="N63" s="15" t="str">
        <x:v>remote learning; COVID</x:v>
      </x:c>
    </x:row>
    <x:row r="64" ht="74" customHeight="1">
      <x:c r="A64" s="15" t="n">
        <x:v>63</x:v>
      </x:c>
      <x:c r="B64" s="15" t="str">
        <x:v>Family engagement and parent information interventions</x:v>
      </x:c>
      <x:c r="C64" s="15" t="str">
        <x:v>Ongoing; school/district</x:v>
      </x:c>
      <x:c r="D64" s="15" t="str">
        <x:v>Whole-child/climate</x:v>
      </x:c>
      <x:c r="E64" s="15" t="str">
        <x:v>Parents can support learning and attendance when schools provide timely, usable information and partnership structures.</x:v>
      </x:c>
      <x:c r="F64" s="15" t="str">
        <x:v>Text messages, report cards, family conferences, home visits, parent training, two-way communication</x:v>
      </x:c>
      <x:c r="G64" s="15" t="str">
        <x:v>Families and students</x:v>
      </x:c>
      <x:c r="H64" s="15" t="str">
        <x:v>RCTs of messaging/info; quasi family engagement studies</x:v>
      </x:c>
      <x:c r="I64" s="15" t="str">
        <x:v>Promising causal/quasi</x:v>
      </x:c>
      <x:c r="J64" s="15" t="str">
        <x:v>Attendance, homework, course passing, test scores, parent behavior</x:v>
      </x:c>
      <x:c r="K64" s="15" t="str">
        <x:v>Low-cost nudges and intensive home visiting are different treatments; language/cultural fit matters.</x:v>
      </x:c>
      <x:c r="L64" s="15" t="str">
        <x:v>Information interventions can be cost-effective, but family engagement is not a substitute for strong instruction.</x:v>
      </x:c>
      <x:c r="M64" s="15" t="str">
        <x:v>https://ies.ed.gov/ncee/wwc/</x:v>
      </x:c>
      <x:c r="N64" s="15" t="str">
        <x:v>family engagement; nudges</x:v>
      </x:c>
    </x:row>
    <x:row r="65" ht="74" customHeight="1">
      <x:c r="A65" s="15" t="n">
        <x:v>64</x:v>
      </x:c>
      <x:c r="B65" s="15" t="str">
        <x:v>Competency-based / mastery-based learning</x:v>
      </x:c>
      <x:c r="C65" s="15" t="str">
        <x:v>2010s onward; districts and states</x:v>
      </x:c>
      <x:c r="D65" s="15" t="str">
        <x:v>School organization/governance</x:v>
      </x:c>
      <x:c r="E65" s="15" t="str">
        <x:v>Students should progress after demonstrating mastery rather than after fixed seat time.</x:v>
      </x:c>
      <x:c r="F65" s="15" t="str">
        <x:v>Mastery thresholds, reassessment, flexible pacing, standards-based grading, credit rules</x:v>
      </x:c>
      <x:c r="G65" s="15" t="str">
        <x:v>K-12 schools and districts</x:v>
      </x:c>
      <x:c r="H65" s="15" t="str">
        <x:v>Implementation studies; quasi evaluations; emerging evidence</x:v>
      </x:c>
      <x:c r="I65" s="15" t="str">
        <x:v>Limited/descriptive</x:v>
      </x:c>
      <x:c r="J65" s="15" t="str">
        <x:v>Course completion, grades, test scores, student agency, graduation</x:v>
      </x:c>
      <x:c r="K65" s="15" t="str">
        <x:v>Grades and credits change meaning under mastery systems; researchers need common external outcomes.</x:v>
      </x:c>
      <x:c r="L65" s="15" t="str">
        <x:v>Philosophically important but evidence remains heterogeneous and tied to local implementation.</x:v>
      </x:c>
      <x:c r="M65" s="15" t="str">
        <x:v>https://www.rand.org/pubs/research_reports/RR1365.html; https://ies.ed.gov/ncee/wwc/</x:v>
      </x:c>
      <x:c r="N65" s="15" t="str">
        <x:v>mastery; competency</x:v>
      </x:c>
    </x:row>
    <x:row r="66" ht="74" customHeight="1">
      <x:c r="A66" s="15" t="n">
        <x:v>65</x:v>
      </x:c>
      <x:c r="B66" s="15" t="str">
        <x:v>Project-based learning and inquiry-oriented reform</x:v>
      </x:c>
      <x:c r="C66" s="15" t="str">
        <x:v>1990s onward; curriculum/school design</x:v>
      </x:c>
      <x:c r="D66" s="15" t="str">
        <x:v>Curriculum/pedagogy</x:v>
      </x:c>
      <x:c r="E66" s="15" t="str">
        <x:v>Authentic problems and student inquiry build deeper understanding, transfer, collaboration, and motivation.</x:v>
      </x:c>
      <x:c r="F66" s="15" t="str">
        <x:v>Projects, inquiry cycles, group work, performance tasks, teacher facilitation, interdisciplinary units</x:v>
      </x:c>
      <x:c r="G66" s="15" t="str">
        <x:v>K-12 classrooms</x:v>
      </x:c>
      <x:c r="H66" s="15" t="str">
        <x:v>RCTs in specific curricula; implementation studies; WWC reviews</x:v>
      </x:c>
      <x:c r="I66" s="15" t="str">
        <x:v>Mixed/conditional</x:v>
      </x:c>
      <x:c r="J66" s="15" t="str">
        <x:v>Content tests, performance tasks, engagement, collaboration</x:v>
      </x:c>
      <x:c r="K66" s="15" t="str">
        <x:v>Effects depend on scaffolding and assessment alignment; 'PBL' labels range from rigorous to superficial.</x:v>
      </x:c>
      <x:c r="L66" s="15" t="str">
        <x:v>PBL is strongest when content-rich, well-scaffolded, and assessed on more than generic engagement.</x:v>
      </x:c>
      <x:c r="M66" s="15" t="str">
        <x:v>https://ies.ed.gov/ncee/wwc/</x:v>
      </x:c>
      <x:c r="N66" s="15" t="str">
        <x:v>PBL; inquiry</x:v>
      </x:c>
    </x:row>
  </x:sheetData>
  <x:conditionalFormatting sqref="A2:N66">
    <x:cfRule type="expression" dxfId="0" priority="1">
      <x:formula>$I2="Strong causal evidence"</x:formula>
    </x:cfRule>
    <x:cfRule type="expression" dxfId="1" priority="2">
      <x:formula>$I2="Promising causal/quasi"</x:formula>
    </x:cfRule>
    <x:cfRule type="expression" dxfId="2" priority="3">
      <x:formula>$I2="Mixed/conditional"</x:formula>
    </x:cfRule>
    <x:cfRule type="expression" dxfId="3" priority="4">
      <x:formula>$I2="Limited/descriptive"</x:formula>
    </x:cfRule>
    <x:cfRule type="expression" dxfId="4" priority="5">
      <x:formula>$I2="Not an outcome intervention"</x:formula>
    </x:cfRule>
  </x:conditionalFormatting>
  <x:dataValidations count="2">
    <x:dataValidation type="list" sqref="D2:D66">
      <x:formula1>Lists!$A$2:$A$14</x:formula1>
    </x:dataValidation>
    <x:dataValidation type="list" sqref="I2:I66">
      <x:formula1>Lists!$C$2:$C$6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9337aeaab864a7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8" hidden="0" customWidth="1"/>
    <x:col min="3" max="3" width="22" hidden="0" customWidth="1"/>
    <x:col min="4" max="4" width="44" hidden="0" customWidth="1"/>
    <x:col min="5" max="5" width="42" hidden="0" customWidth="1"/>
    <x:col min="6" max="6" width="30" hidden="0" customWidth="1"/>
    <x:col min="7" max="7" width="52" hidden="0" customWidth="1"/>
    <x:col min="8" max="8" width="32" hidden="0" customWidth="1"/>
  </x:cols>
  <x:sheetData>
    <x:row r="1">
      <x:c r="A1" s="14" t="str">
        <x:v>Variable family</x:v>
      </x:c>
      <x:c r="B1" s="14" t="str">
        <x:v>Specific variables / fields</x:v>
      </x:c>
      <x:c r="C1" s="14" t="str">
        <x:v>Unit / scale</x:v>
      </x:c>
      <x:c r="D1" s="14" t="str">
        <x:v>How researchers normalize or harmonize</x:v>
      </x:c>
      <x:c r="E1" s="14" t="str">
        <x:v>Cross-study warnings</x:v>
      </x:c>
      <x:c r="F1" s="14" t="str">
        <x:v>Common data sources</x:v>
      </x:c>
      <x:c r="G1" s="14" t="str">
        <x:v>Example source URLs</x:v>
      </x:c>
      <x:c r="H1" s="14" t="str">
        <x:v>Example initiatives</x:v>
      </x:c>
    </x:row>
    <x:row r="2" ht="82" customHeight="1">
      <x:c r="A2" s="15" t="str">
        <x:v>Target population</x:v>
      </x:c>
      <x:c r="B2" s="15" t="str">
        <x:v>Grade, age, baseline score, poverty, EL status, IEP status, race/ethnicity, prior attendance</x:v>
      </x:c>
      <x:c r="C2" s="15" t="str">
        <x:v>Student, classroom, school, district</x:v>
      </x:c>
      <x:c r="D2" s="15" t="str">
        <x:v>Use baseline covariates, subgroup indicators, baseline achievement quantiles, and cohort definitions.</x:v>
      </x:c>
      <x:c r="E2" s="15" t="str">
        <x:v>Group labels and eligibility rules change; demographics are moderators, not mechanisms by themselves.</x:v>
      </x:c>
      <x:c r="F2" s="15" t="str">
        <x:v>District admin data; state longitudinal systems; NCES; SEDA</x:v>
      </x:c>
      <x:c r="G2" s="15" t="str">
        <x:v>https://cepa.stanford.edu/seda2/data-download; https://nces.ed.gov/nationsreportcard/</x:v>
      </x:c>
      <x:c r="H2" s="15" t="str">
        <x:v>NCLB; charters; tutoring; pre-K</x:v>
      </x:c>
    </x:row>
    <x:row r="3" ht="82" customHeight="1">
      <x:c r="A3" s="15" t="str">
        <x:v>Dosage and intensity</x:v>
      </x:c>
      <x:c r="B3" s="15" t="str">
        <x:v>Minutes/session, sessions/week, weeks/year, years exposed, attendance, completion</x:v>
      </x:c>
      <x:c r="C3" s="15" t="str">
        <x:v>Hours/year and cumulative hours</x:v>
      </x:c>
      <x:c r="D3" s="15" t="str">
        <x:v>Convert planned exposure to attended exposure; report ITT and treatment-on-treated where possible.</x:v>
      </x:c>
      <x:c r="E3" s="15" t="str">
        <x:v>High dosage is often endogenous because more motivated students attend more.</x:v>
      </x:c>
      <x:c r="F3" s="15" t="str">
        <x:v>Program logs; attendance; LMS logs</x:v>
      </x:c>
      <x:c r="G3" s="15" t="str">
        <x:v>https://files.eric.ed.gov/fulltext/ED613847.pdf; https://www.rand.org/education-employment-infrastructure/projects/national-summer-learning-project.html; https://edworkingpapers.com/sites/default/files/Kraft%20Novicoff%20-%20Time%20In%20School%20-%20Feb%202024_1.pdf</x:v>
      </x:c>
      <x:c r="H3" s="15" t="str">
        <x:v>Tutoring; summer learning; extended time</x:v>
      </x:c>
    </x:row>
    <x:row r="4" ht="82" customHeight="1">
      <x:c r="A4" s="15" t="str">
        <x:v>Staffing ratio and adult contact</x:v>
      </x:c>
      <x:c r="B4" s="15" t="str">
        <x:v>Class size, student:tutor ratio, coach caseload, aides, counselor ratio</x:v>
      </x:c>
      <x:c r="C4" s="15" t="str">
        <x:v>Students per adult; contact hours per student</x:v>
      </x:c>
      <x:c r="D4" s="15" t="str">
        <x:v>Normalize to effective contact hours and adult qualification level.</x:v>
      </x:c>
      <x:c r="E4" s="15" t="str">
        <x:v>Lower ratios may require hiring less-experienced adults at scale.</x:v>
      </x:c>
      <x:c r="F4" s="15" t="str">
        <x:v>HR data; program rosters; classroom assignment records</x:v>
      </x:c>
      <x:c r="G4" s="15" t="str">
        <x:v>https://www.nber.org/papers/w16381; https://files.eric.ed.gov/fulltext/ED613847.pdf; https://annenberg.brown.edu/publications/effect-teacher-coaching-instruction-and-achievement-meta-analysis-causal-evidence</x:v>
      </x:c>
      <x:c r="H4" s="15" t="str">
        <x:v>Project STAR; tutoring; coaching</x:v>
      </x:c>
    </x:row>
    <x:row r="5" ht="82" customHeight="1">
      <x:c r="A5" s="15" t="str">
        <x:v>Curriculum content</x:v>
      </x:c>
      <x:c r="B5" s="15" t="str">
        <x:v>Standards alignment, phonics sequence, knowledge richness, math topics, text complexity, materials quality</x:v>
      </x:c>
      <x:c r="C5" s="15" t="str">
        <x:v>Rubric score; categorical tags</x:v>
      </x:c>
      <x:c r="D5" s="15" t="str">
        <x:v>Use common rubrics, curriculum review ratings, lesson artifacts, topic coverage, and teacher usage surveys.</x:v>
      </x:c>
      <x:c r="E5" s="15" t="str">
        <x:v>Adoption is not implementation; curriculum labels are often too broad.</x:v>
      </x:c>
      <x:c r="F5" s="15" t="str">
        <x:v>EdReports-type reviews; teacher surveys; classroom artifacts</x:v>
      </x:c>
      <x:c r="G5" s="15" t="str">
        <x:v>https://www.rand.org/pubs/research_reports/RR2658.html; https://www.rand.org/pubs/research_reports/RRA134-13.html; https://education.virginia.edu/news-stories/study-knowledge-rich-curriculum-significantly-boosts-reading-scores</x:v>
      </x:c>
      <x:c r="H5" s="15" t="str">
        <x:v>Common Core; HQIM; Core Knowledge</x:v>
      </x:c>
    </x:row>
    <x:row r="6" ht="82" customHeight="1">
      <x:c r="A6" s="15" t="str">
        <x:v>Pedagogy and instructional model</x:v>
      </x:c>
      <x:c r="B6" s="15" t="str">
        <x:v>Explicit instruction, inquiry, guided practice, feedback frequency, grouping, assessment-for-learning</x:v>
      </x:c>
      <x:c r="C6" s="15" t="str">
        <x:v>Observation rubric; survey scale</x:v>
      </x:c>
      <x:c r="D6" s="15" t="str">
        <x:v>Use validated observation rubrics, video coding, instructional logs, and common categories.</x:v>
      </x:c>
      <x:c r="E6" s="15" t="str">
        <x:v>Teacher self-reports often overstate fidelity; pedagogy interacts with content and student prior knowledge.</x:v>
      </x:c>
      <x:c r="F6" s="15" t="str">
        <x:v>Observation systems; MET-style measures; surveys</x:v>
      </x:c>
      <x:c r="G6" s="15" t="str">
        <x:v>https://cepr.harvard.edu/met-project; https://annenberg.brown.edu/publications/effect-teacher-coaching-instruction-and-achievement-meta-analysis-causal-evidence; https://eric.ed.gov/?id=EJ353785</x:v>
      </x:c>
      <x:c r="H6" s="15" t="str">
        <x:v>Direct Instruction; PBL; teacher coaching</x:v>
      </x:c>
    </x:row>
    <x:row r="7" ht="82" customHeight="1">
      <x:c r="A7" s="15" t="str">
        <x:v>Technology role</x:v>
      </x:c>
      <x:c r="B7" s="15" t="str">
        <x:v>Device access, software type, AI role, adaptive algorithm, LMS integration, home internet, data privacy</x:v>
      </x:c>
      <x:c r="C7" s="15" t="str">
        <x:v>Device/student; active minutes; tasks completed</x:v>
      </x:c>
      <x:c r="D7" s="15" t="str">
        <x:v>Separate access, active academic use, teacher-mediated use, and substitution for in-person instruction.</x:v>
      </x:c>
      <x:c r="E7" s="15" t="str">
        <x:v>Screen time can mean passive entertainment, online worksheets, tutoring, or creation; pooling them is misleading.</x:v>
      </x:c>
      <x:c r="F7" s="15" t="str">
        <x:v>Usage logs; procurement records; surveys</x:v>
      </x:c>
      <x:c r="G7" s="15" t="str">
        <x:v>https://www.oecd.org/en/publications/students-computers-and-learning_9789264239555-en.html; https://scholar.usuhs.edu/en/publications/learning-in-one-to-one-laptop-environments-a-meta-analysis-and-re/; https://www.frontiersin.org/journals/education/articles/10.3389/feduc.2025.1647573/full</x:v>
      </x:c>
      <x:c r="H7" s="15" t="str">
        <x:v>1:1 laptops; adaptive platforms; AI tutoring</x:v>
      </x:c>
    </x:row>
    <x:row r="8" ht="82" customHeight="1">
      <x:c r="A8" s="15" t="str">
        <x:v>Teacher supports</x:v>
      </x:c>
      <x:c r="B8" s="15" t="str">
        <x:v>PD hours, coaching visits, PLC cycles, curriculum-specific training, observation-feedback frequency</x:v>
      </x:c>
      <x:c r="C8" s="15" t="str">
        <x:v>Hours; cycles/year; fidelity index</x:v>
      </x:c>
      <x:c r="D8" s="15" t="str">
        <x:v>Report content focus, active practice, coaching cycles, and alignment to adopted materials.</x:v>
      </x:c>
      <x:c r="E8" s="15" t="str">
        <x:v>PD seat time alone is weak; implementation support matters more than generic exposure.</x:v>
      </x:c>
      <x:c r="F8" s="15" t="str">
        <x:v>PD logs; coaching notes; teacher surveys</x:v>
      </x:c>
      <x:c r="G8" s="15" t="str">
        <x:v>https://annenberg.brown.edu/publications/effect-teacher-coaching-instruction-and-achievement-meta-analysis-causal-evidence; https://www.rand.org/pubs/research_reports/RRA134-13.html</x:v>
      </x:c>
      <x:c r="H8" s="15" t="str">
        <x:v>Coaching; HQIM; Reading First</x:v>
      </x:c>
    </x:row>
    <x:row r="9" ht="82" customHeight="1">
      <x:c r="A9" s="15" t="str">
        <x:v>Accountability and incentives</x:v>
      </x:c>
      <x:c r="B9" s="15" t="str">
        <x:v>Test stakes, school grades, sanctions, rewards, teacher ratings, value-added use</x:v>
      </x:c>
      <x:c r="C9" s="15" t="str">
        <x:v>Index or policy indicator</x:v>
      </x:c>
      <x:c r="D9" s="15" t="str">
        <x:v>Code stakes, affected grades/subjects, thresholds, consequences, and timing.</x:v>
      </x:c>
      <x:c r="E9" s="15" t="str">
        <x:v>Policies create incentives for gaming, test prep, reclassification, and curriculum narrowing.</x:v>
      </x:c>
      <x:c r="F9" s="15" t="str">
        <x:v>State policy databases; admin data; NAEP</x:v>
      </x:c>
      <x:c r="G9" s="15" t="str">
        <x:v>https://www.nber.org/papers/w15531; https://ies.ed.gov/use-work/resource-library/report/evaluation-report/school-improvement-grants-implementation-and-effectiveness; https://www.nber.org/papers/w19403</x:v>
      </x:c>
      <x:c r="H9" s="15" t="str">
        <x:v>NCLB; SIG; DC IMPACT</x:v>
      </x:c>
    </x:row>
    <x:row r="10" ht="82" customHeight="1">
      <x:c r="A10" s="15" t="str">
        <x:v>Governance and choice</x:v>
      </x:c>
      <x:c r="B10" s="15" t="str">
        <x:v>Charter status, voucher amount, magnet theme, autonomy, authorizer rules, admissions lottery</x:v>
      </x:c>
      <x:c r="C10" s="15" t="str">
        <x:v>School/policy status</x:v>
      </x:c>
      <x:c r="D10" s="15" t="str">
        <x:v>Use lottery offers for ITT where possible; otherwise match on prior achievement and demographics.</x:v>
      </x:c>
      <x:c r="E10" s="15" t="str">
        <x:v>Applicant effects may not equal population effects; governance is not the same as instructional model.</x:v>
      </x:c>
      <x:c r="F10" s="15" t="str">
        <x:v>Admissions lotteries; state charter data; voucher records</x:v>
      </x:c>
      <x:c r="G10" s="15" t="str">
        <x:v>https://credo.stanford.edu/reports/item/national-charter-school-study-iii/; https://www.nber.org/papers/w21839; https://ies.ed.gov/ncee/pubs/20174022/</x:v>
      </x:c>
      <x:c r="H10" s="15" t="str">
        <x:v>Charters; vouchers; magnet schools</x:v>
      </x:c>
    </x:row>
    <x:row r="11" ht="82" customHeight="1">
      <x:c r="A11" s="15" t="str">
        <x:v>Time structure</x:v>
      </x:c>
      <x:c r="B11" s="15" t="str">
        <x:v>Days/year, minutes/day, four-day weeks, summer days, tutoring embedded in schedule</x:v>
      </x:c>
      <x:c r="C11" s="15" t="str">
        <x:v>Scheduled and attended hours</x:v>
      </x:c>
      <x:c r="D11" s="15" t="str">
        <x:v>Convert to active learning time using attendance and instructional-use measures.</x:v>
      </x:c>
      <x:c r="E11" s="15" t="str">
        <x:v>Additional scheduled time may not become productive learning time.</x:v>
      </x:c>
      <x:c r="F11" s="15" t="str">
        <x:v>Schedules; attendance; classroom observations</x:v>
      </x:c>
      <x:c r="G11" s="15" t="str">
        <x:v>https://edworkingpapers.com/sites/default/files/Kraft%20Novicoff%20-%20Time%20In%20School%20-%20Feb%202024_1.pdf; https://www.rand.org/education-employment-infrastructure/projects/national-summer-learning-project.html</x:v>
      </x:c>
      <x:c r="H11" s="15" t="str">
        <x:v>Extended time; summer learning; four-day week</x:v>
      </x:c>
    </x:row>
    <x:row r="12" ht="82" customHeight="1">
      <x:c r="A12" s="15" t="str">
        <x:v>Early childhood quality</x:v>
      </x:c>
      <x:c r="B12" s="15" t="str">
        <x:v>Teacher credential, class size, curriculum, adult-child interaction, play/academic balance, wraparound services</x:v>
      </x:c>
      <x:c r="C12" s="15" t="str">
        <x:v>CLASS/ECERS-style scores; ratios</x:v>
      </x:c>
      <x:c r="D12" s="15" t="str">
        <x:v>Use classroom quality observations, curriculum indicators, and counterfactual care type.</x:v>
      </x:c>
      <x:c r="E12" s="15" t="str">
        <x:v>Classic intensive preschool effects do not automatically generalize to scaled state programs.</x:v>
      </x:c>
      <x:c r="F12" s="15" t="str">
        <x:v>Pre-K lotteries; observations; child assessments</x:v>
      </x:c>
      <x:c r="G12" s="15" t="str">
        <x:v>https://eric.ed.gov/?id=ED507845; https://my.vanderbilt.edu/tnprekevaluation/; https://www.nber.org/papers/w28756; https://cehd.uchicago.edu/?page_id=958</x:v>
      </x:c>
      <x:c r="H12" s="15" t="str">
        <x:v>Head Start; TN Pre-K; Boston pre-K</x:v>
      </x:c>
    </x:row>
    <x:row r="13" ht="82" customHeight="1">
      <x:c r="A13" s="15" t="str">
        <x:v>Whole-child supports</x:v>
      </x:c>
      <x:c r="B13" s="15" t="str">
        <x:v>SEL lessons, counseling, health services, attendance supports, restorative practices, community partners</x:v>
      </x:c>
      <x:c r="C13" s="15" t="str">
        <x:v>Service dose; implementation index</x:v>
      </x:c>
      <x:c r="D13" s="15" t="str">
        <x:v>Track service eligibility, take-up, completion, and schoolwide climate exposure.</x:v>
      </x:c>
      <x:c r="E13" s="15" t="str">
        <x:v>Supports affect academics indirectly and may need longer horizons or non-test outcomes.</x:v>
      </x:c>
      <x:c r="F13" s="15" t="str">
        <x:v>Service logs; climate surveys; discipline records</x:v>
      </x:c>
      <x:c r="G13" s="15" t="str">
        <x:v>https://casel.org/events/the-evidence-is-clear-an-update-on-research-examining-social-and-emotional-learning/; https://www.rand.org/pubs/research_briefs/RB10051.html; https://www.rand.org/pubs/research_reports/RR3245.html</x:v>
      </x:c>
      <x:c r="H13" s="15" t="str">
        <x:v>SEL; community schools; restorative practices</x:v>
      </x:c>
    </x:row>
    <x:row r="14" ht="82" customHeight="1">
      <x:c r="A14" s="15" t="str">
        <x:v>Finance and resources</x:v>
      </x:c>
      <x:c r="B14" s="15" t="str">
        <x:v>Per-pupil spending, marginal grant amount, spending category, duration, teacher salary, capital improvements</x:v>
      </x:c>
      <x:c r="C14" s="15" t="str">
        <x:v>Inflation-adjusted dollars per pupil</x:v>
      </x:c>
      <x:c r="D14" s="15" t="str">
        <x:v>Use real dollars, exposure years, district fixed effects, and cost-effectiveness ratios.</x:v>
      </x:c>
      <x:c r="E14" s="15" t="str">
        <x:v>Spending category codes are coarse; money effects depend on use and local labor markets.</x:v>
      </x:c>
      <x:c r="F14" s="15" t="str">
        <x:v>District finance data; ESSER plans; state funding formulas</x:v>
      </x:c>
      <x:c r="G14" s="15" t="str">
        <x:v>https://academic.oup.com/qje/article-abstract/131/1/157/2461148; https://educationrecoveryscorecard.org/</x:v>
      </x:c>
      <x:c r="H14" s="15" t="str">
        <x:v>School finance reforms; ESSER</x:v>
      </x:c>
    </x:row>
    <x:row r="15" ht="82" customHeight="1">
      <x:c r="A15" s="15" t="str">
        <x:v>Implementation and fidelity</x:v>
      </x:c>
      <x:c r="B15" s="15" t="str">
        <x:v>Adherence, quality, dosage delivered, dosage received, adaptation, leadership support, buy-in</x:v>
      </x:c>
      <x:c r="C15" s="15" t="str">
        <x:v>Fidelity index; categorical stage</x:v>
      </x:c>
      <x:c r="D15" s="15" t="str">
        <x:v>Separate intent-to-treat, implementation-on-treated, and mediator analyses.</x:v>
      </x:c>
      <x:c r="E15" s="15" t="str">
        <x:v>High fidelity may reflect stronger sites; do not overinterpret post-treatment implementation measures as exogenous.</x:v>
      </x:c>
      <x:c r="F15" s="15" t="str">
        <x:v>Observations; logs; surveys; interviews</x:v>
      </x:c>
      <x:c r="G15" s="15" t="str">
        <x:v>https://www.mathematica.org/api/sitecore/MediaLibrary/ActualDownload?fileData=NSI+Evaluation+-+Impacts+on+Student+Outcomes+Final+Report.pdf+-+%7B253F094F-163C-4719-BB71-B1D76F5EE4CE%7D&amp;fileId=%7B253F094F-163C-4719-BB71-B1D76F5EE4CE%7D&amp;fileMime=application%2Fpdf&amp;fileName=NSI+Evaluation+-+Impacts+on+Student+Outcomes+Final+Report.pdf; https://www.rand.org/pubs/research_reports/RRA134-13.html; https://ies.ed.gov/use-work/resource-library/report/evaluation-report/reading-first-impact-study-final-report</x:v>
      </x:c>
      <x:c r="H15" s="15" t="str">
        <x:v>NSI; Reading First; HQIM</x:v>
      </x:c>
    </x:row>
    <x:row r="16" ht="82" customHeight="1">
      <x:c r="A16" s="15" t="str">
        <x:v>Counterfactual context</x:v>
      </x:c>
      <x:c r="B16" s="15" t="str">
        <x:v>Business-as-usual quality, concurrent reforms, labor market, pandemic disruption, demographics, pre-trends</x:v>
      </x:c>
      <x:c r="C16" s="15" t="str">
        <x:v>Covariates; fixed effects; narrative context</x:v>
      </x:c>
      <x:c r="D16" s="15" t="str">
        <x:v>Use baseline trends, matched controls, cohort fixed effects, and sensitivity analyses.</x:v>
      </x:c>
      <x:c r="E16" s="15" t="str">
        <x:v>Many reforms occur in bundles; attribution fails if the comparison group is changing differently.</x:v>
      </x:c>
      <x:c r="F16" s="15" t="str">
        <x:v>State/district admin data; policy timelines; SEDA; NAEP</x:v>
      </x:c>
      <x:c r="G16" s="15" t="str">
        <x:v>https://cepa.stanford.edu/seda2/data-download; https://nces.ed.gov/nationsreportcard/; https://educationrecoveryscorecard.org/</x:v>
      </x:c>
      <x:c r="H16" s="15" t="str">
        <x:v>Common Core; Mississippi; RTT</x:v>
      </x:c>
    </x:row>
  </x:sheetData>
  <x:pageMargins left="0.7" right="0.7" top="0.75" bottom="0.75" header="0.3" footer="0.3"/>
  <x:tableParts count="1">
    <x:tablePart xmlns:r="http://schemas.openxmlformats.org/officeDocument/2006/relationships" r:id="R1b9406f890d2476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8" hidden="0" customWidth="1"/>
    <x:col min="3" max="3" width="22" hidden="0" customWidth="1"/>
    <x:col min="4" max="4" width="42" hidden="0" customWidth="1"/>
    <x:col min="5" max="5" width="42" hidden="0" customWidth="1"/>
    <x:col min="6" max="6" width="42" hidden="0" customWidth="1"/>
    <x:col min="7" max="7" width="52" hidden="0" customWidth="1"/>
    <x:col min="8" max="8" width="32" hidden="0" customWidth="1"/>
  </x:cols>
  <x:sheetData>
    <x:row r="1">
      <x:c r="A1" s="14" t="str">
        <x:v>Outcome family</x:v>
      </x:c>
      <x:c r="B1" s="14" t="str">
        <x:v>Metrics / fields</x:v>
      </x:c>
      <x:c r="C1" s="14" t="str">
        <x:v>Unit / scale</x:v>
      </x:c>
      <x:c r="D1" s="14" t="str">
        <x:v>Fair evaluation methods</x:v>
      </x:c>
      <x:c r="E1" s="14" t="str">
        <x:v>Normalization / comparability</x:v>
      </x:c>
      <x:c r="F1" s="14" t="str">
        <x:v>Caveats / gaming risks</x:v>
      </x:c>
      <x:c r="G1" s="14" t="str">
        <x:v>Example source URLs</x:v>
      </x:c>
      <x:c r="H1" s="14" t="str">
        <x:v>Example initiatives</x:v>
      </x:c>
    </x:row>
    <x:row r="2" ht="82" customHeight="1">
      <x:c r="A2" s="15" t="str">
        <x:v>Achievement test scores</x:v>
      </x:c>
      <x:c r="B2" s="15" t="str">
        <x:v>NAEP, state tests, MAP/NWEA, SAT-10, end-of-course exams</x:v>
      </x:c>
      <x:c r="C2" s="15" t="str">
        <x:v>Scale score; z-score; SD effect size</x:v>
      </x:c>
      <x:c r="D2" s="15" t="str">
        <x:v>RCT/lotttery ITT; baseline-adjusted value-added; DiD/event study; RD</x:v>
      </x:c>
      <x:c r="E2" s="15" t="str">
        <x:v>Convert to student-level or grade-level SD; use common NAEP/SEDA scales for cross-state comparisons.</x:v>
      </x:c>
      <x:c r="F2" s="15" t="str">
        <x:v>State tests can change, inflate, or align with reform; NAEP is low-stakes but sampled.</x:v>
      </x:c>
      <x:c r="G2" s="15" t="str">
        <x:v>https://nces.ed.gov/nationsreportcard/; https://cepa.stanford.edu/seda2/data-download; https://ies.ed.gov/ncee/wwc/</x:v>
      </x:c>
      <x:c r="H2" s="15" t="str">
        <x:v>NCLB; Common Core; Mississippi; tutoring</x:v>
      </x:c>
    </x:row>
    <x:row r="3" ht="82" customHeight="1">
      <x:c r="A3" s="15" t="str">
        <x:v>Proficiency and cut-score metrics</x:v>
      </x:c>
      <x:c r="B3" s="15" t="str">
        <x:v>Percent proficient, pass rates, achievement levels, third-grade promotion thresholds</x:v>
      </x:c>
      <x:c r="C3" s="15" t="str">
        <x:v>Percentage point; odds ratio</x:v>
      </x:c>
      <x:c r="D3" s="15" t="str">
        <x:v>Compare near cutoffs with RD; use consistent cut-score mapping where possible.</x:v>
      </x:c>
      <x:c r="E3" s="15" t="str">
        <x:v>Do not equate state proficient with NAEP Proficient; map state standards carefully.</x:v>
      </x:c>
      <x:c r="F3" s="15" t="str">
        <x:v>Thresholds invite teaching to the bubble and retention/reclassification artifacts.</x:v>
      </x:c>
      <x:c r="G3" s="15" t="str">
        <x:v>https://nces.ed.gov/nationsreportcard/; https://www.mdek12.org/literacy/lbpa/</x:v>
      </x:c>
      <x:c r="H3" s="15" t="str">
        <x:v>NCLB; Mississippi; state accountability</x:v>
      </x:c>
    </x:row>
    <x:row r="4" ht="82" customHeight="1">
      <x:c r="A4" s="15" t="str">
        <x:v>Reading subskills</x:v>
      </x:c>
      <x:c r="B4" s="15" t="str">
        <x:v>Phonemic awareness, decoding, word reading, fluency, vocabulary, comprehension, writing</x:v>
      </x:c>
      <x:c r="C4" s="15" t="str">
        <x:v>Standard scores; curriculum-based measures</x:v>
      </x:c>
      <x:c r="D4" s="15" t="str">
        <x:v>Domain-specific RCTs; screening/growth models; diagnostic assessment</x:v>
      </x:c>
      <x:c r="E4" s="15" t="str">
        <x:v>Report domains separately; early decoding gains do not guarantee comprehension gains.</x:v>
      </x:c>
      <x:c r="F4" s="15" t="str">
        <x:v>Overreliance on one reading construct can misstate instructional effectiveness.</x:v>
      </x:c>
      <x:c r="G4" s="15" t="str">
        <x:v>https://www.nichd.nih.gov/publications/pubs/nrp/findings; https://ies.ed.gov/use-work/resource-library/report/evaluation-report/reading-first-impact-study-final-report</x:v>
      </x:c>
      <x:c r="H4" s="15" t="str">
        <x:v>Reading First; Science of Reading; Reading Recovery</x:v>
      </x:c>
    </x:row>
    <x:row r="5" ht="82" customHeight="1">
      <x:c r="A5" s="15" t="str">
        <x:v>Math subskills and course readiness</x:v>
      </x:c>
      <x:c r="B5" s="15" t="str">
        <x:v>Fact fluency, conceptual understanding, problem solving, algebra readiness, course grades</x:v>
      </x:c>
      <x:c r="C5" s="15" t="str">
        <x:v>Standard scores; course pass/fail</x:v>
      </x:c>
      <x:c r="D5" s="15" t="str">
        <x:v>Pre/post growth with prior achievement; course-taking access plus achievement</x:v>
      </x:c>
      <x:c r="E5" s="15" t="str">
        <x:v>Normalize by grade, course content, and test alignment.</x:v>
      </x:c>
      <x:c r="F5" s="15" t="str">
        <x:v>Raising access without supports can raise failure rates.</x:v>
      </x:c>
      <x:c r="G5" s="15" t="str">
        <x:v>https://consortium.uchicago.edu/publications/college-preparatory-curriculum-all-consequences-ninth-grade-coursetaking-algebra-and; https://files.eric.ed.gov/fulltext/ED613847.pdf</x:v>
      </x:c>
      <x:c r="H5" s="15" t="str">
        <x:v>Algebra for All; tutoring</x:v>
      </x:c>
    </x:row>
    <x:row r="6" ht="82" customHeight="1">
      <x:c r="A6" s="15" t="str">
        <x:v>Academic growth</x:v>
      </x:c>
      <x:c r="B6" s="15" t="str">
        <x:v>Student growth percentiles, value-added, year-to-year scale gains</x:v>
      </x:c>
      <x:c r="C6" s="15" t="str">
        <x:v>Percentile; SD/year</x:v>
      </x:c>
      <x:c r="D6" s="15" t="str">
        <x:v>Use prior scores and fixed effects; compare growth for similar baseline students.</x:v>
      </x:c>
      <x:c r="E6" s="15" t="str">
        <x:v>Growth metrics are less sensitive to baseline level but still depend on test scale and ceiling/floor.</x:v>
      </x:c>
      <x:c r="F6" s="15" t="str">
        <x:v>Value-added is noisy for small classes and untested subjects.</x:v>
      </x:c>
      <x:c r="G6" s="15" t="str">
        <x:v>https://cepr.harvard.edu/met-project; https://www.nber.org/papers/w19403; https://cepa.stanford.edu/seda2/data-download</x:v>
      </x:c>
      <x:c r="H6" s="15" t="str">
        <x:v>Teacher evaluation; charters</x:v>
      </x:c>
    </x:row>
    <x:row r="7" ht="82" customHeight="1">
      <x:c r="A7" s="15" t="str">
        <x:v>Coursework and grades</x:v>
      </x:c>
      <x:c r="B7" s="15" t="str">
        <x:v>Credits earned, GPA, course completion, advanced course access and pass rates</x:v>
      </x:c>
      <x:c r="C7" s="15" t="str">
        <x:v>Credits; GPA; percentage points</x:v>
      </x:c>
      <x:c r="D7" s="15" t="str">
        <x:v>Use transcript data with cohort controls; compare access and success jointly.</x:v>
      </x:c>
      <x:c r="E7" s="15" t="str">
        <x:v>Normalize course titles and rigor; credit inflation can mask learning.</x:v>
      </x:c>
      <x:c r="F7" s="15" t="str">
        <x:v>Policies can boost enrollment while lowering pass rates or standards.</x:v>
      </x:c>
      <x:c r="G7" s="15" t="str">
        <x:v>https://nces.ed.gov/use-work/awards/air-early-college-follow-efficacy-study; https://consortium.uchicago.edu/publications/college-preparatory-curriculum-all-consequences-ninth-grade-coursetaking-algebra-and; https://nces.ed.gov/use-work/evaluations/outcomes-associated-dual-enrollment-programs</x:v>
      </x:c>
      <x:c r="H7" s="15" t="str">
        <x:v>Early college; Algebra for All; AP/dual</x:v>
      </x:c>
    </x:row>
    <x:row r="8" ht="82" customHeight="1">
      <x:c r="A8" s="15" t="str">
        <x:v>Attendance and engagement</x:v>
      </x:c>
      <x:c r="B8" s="15" t="str">
        <x:v>Average daily attendance, chronic absenteeism, session attendance, platform engagement</x:v>
      </x:c>
      <x:c r="C8" s="15" t="str">
        <x:v>Days absent; percent chronically absent; active minutes</x:v>
      </x:c>
      <x:c r="D8" s="15" t="str">
        <x:v>RCT for nudges; DiD for policy changes; attendance-adjusted exposure analyses</x:v>
      </x:c>
      <x:c r="E8" s="15" t="str">
        <x:v>Use same chronic absenteeism threshold and handle remote/partial days consistently.</x:v>
      </x:c>
      <x:c r="F8" s="15" t="str">
        <x:v>Attendance can improve because recording rules change, not because engagement improves.</x:v>
      </x:c>
      <x:c r="G8" s="15" t="str">
        <x:v>https://educationrecoveryscorecard.org/; https://www.rand.org/pubs/research_reports/RR3245.html</x:v>
      </x:c>
      <x:c r="H8" s="15" t="str">
        <x:v>Community schools; ESSER; tutoring</x:v>
      </x:c>
    </x:row>
    <x:row r="9" ht="82" customHeight="1">
      <x:c r="A9" s="15" t="str">
        <x:v>Behavior and climate</x:v>
      </x:c>
      <x:c r="B9" s="15" t="str">
        <x:v>Suspensions, expulsions, referrals, safety incidents, climate surveys</x:v>
      </x:c>
      <x:c r="C9" s="15" t="str">
        <x:v>Rates per 100 students; survey scale</x:v>
      </x:c>
      <x:c r="D9" s="15" t="str">
        <x:v>Cluster RCTs; administrative comparisons; pre-trend checks</x:v>
      </x:c>
      <x:c r="E9" s="15" t="str">
        <x:v>Standardize reporting rules; separate actual behavior from adult referral behavior.</x:v>
      </x:c>
      <x:c r="F9" s="15" t="str">
        <x:v>Discipline reforms can change reporting independent of student conduct.</x:v>
      </x:c>
      <x:c r="G9" s="15" t="str">
        <x:v>https://www.pbis.org/pbis/studies; https://www.rand.org/pubs/research_briefs/RB10051.html</x:v>
      </x:c>
      <x:c r="H9" s="15" t="str">
        <x:v>PBIS; restorative practices</x:v>
      </x:c>
    </x:row>
    <x:row r="10" ht="82" customHeight="1">
      <x:c r="A10" s="15" t="str">
        <x:v>SEL and noncognitive outcomes</x:v>
      </x:c>
      <x:c r="B10" s="15" t="str">
        <x:v>Self-management, relationships, motivation, belonging, growth mindset, executive function</x:v>
      </x:c>
      <x:c r="C10" s="15" t="str">
        <x:v>Validated scale score</x:v>
      </x:c>
      <x:c r="D10" s="15" t="str">
        <x:v>RCTs with validated instruments; multi-informant measures</x:v>
      </x:c>
      <x:c r="E10" s="15" t="str">
        <x:v>Use common scales or standardize within sample; triangulate self, teacher, and admin measures.</x:v>
      </x:c>
      <x:c r="F10" s="15" t="str">
        <x:v>Self-report bias and political re-labeling are major risks.</x:v>
      </x:c>
      <x:c r="G10" s="15" t="str">
        <x:v>https://casel.org/events/the-evidence-is-clear-an-update-on-research-examining-social-and-emotional-learning/</x:v>
      </x:c>
      <x:c r="H10" s="15" t="str">
        <x:v>SEL; community schools</x:v>
      </x:c>
    </x:row>
    <x:row r="11" ht="82" customHeight="1">
      <x:c r="A11" s="15" t="str">
        <x:v>Grade progression</x:v>
      </x:c>
      <x:c r="B11" s="15" t="str">
        <x:v>Retention, promotion, 9th-grade on-track, credit accumulation</x:v>
      </x:c>
      <x:c r="C11" s="15" t="str">
        <x:v>Percent promoted/on-track</x:v>
      </x:c>
      <x:c r="D11" s="15" t="str">
        <x:v>RD around thresholds; cohort models; ITT for school models</x:v>
      </x:c>
      <x:c r="E11" s="15" t="str">
        <x:v>Define on-track consistently; account for policy-induced retention.</x:v>
      </x:c>
      <x:c r="F11" s="15" t="str">
        <x:v>Retention can mechanically affect grade-level test composition.</x:v>
      </x:c>
      <x:c r="G11" s="15" t="str">
        <x:v>https://wheelockpolicycenter.org/high-quality-education/ms-read-by-grade-three/; https://www.mathematica.org/api/sitecore/MediaLibrary/ActualDownload?fileData=NSI+Evaluation+-+Impacts+on+Student+Outcomes+Final+Report.pdf+-+%7B253F094F-163C-4719-BB71-B1D76F5EE4CE%7D&amp;fileId=%7B253F094F-163C-4719-BB71-B1D76F5EE4CE%7D&amp;fileMime=application%2Fpdf&amp;fileName=NSI+Evaluation+-+Impacts+on+Student+Outcomes+Final+Report.pdf</x:v>
      </x:c>
      <x:c r="H11" s="15" t="str">
        <x:v>Mississippi; NSI; high school reform</x:v>
      </x:c>
    </x:row>
    <x:row r="12" ht="82" customHeight="1">
      <x:c r="A12" s="15" t="str">
        <x:v>Completion</x:v>
      </x:c>
      <x:c r="B12" s="15" t="str">
        <x:v>Dropout, high school graduation, diploma type</x:v>
      </x:c>
      <x:c r="C12" s="15" t="str">
        <x:v>Percentage points; hazard rates</x:v>
      </x:c>
      <x:c r="D12" s="15" t="str">
        <x:v>Lottery/RCT follow-up; cohort fixed effects; administrative linkage</x:v>
      </x:c>
      <x:c r="E12" s="15" t="str">
        <x:v>Use consistent cohort graduation definitions and diploma requirements.</x:v>
      </x:c>
      <x:c r="F12" s="15" t="str">
        <x:v>Diploma inflation or changing requirements can distort comparisons.</x:v>
      </x:c>
      <x:c r="G12" s="15" t="str">
        <x:v>https://www.mdrc.org/work/projects/new-york-city-small-schools-choice-evaluation; https://www.mdrc.org/work/publications/career-academies-long-term-impacts-work-education-and-transitions-adulthood; https://nces.ed.gov/use-work/awards/air-early-college-follow-efficacy-study</x:v>
      </x:c>
      <x:c r="H12" s="15" t="str">
        <x:v>Small schools; Career Academies; Early College</x:v>
      </x:c>
    </x:row>
    <x:row r="13" ht="82" customHeight="1">
      <x:c r="A13" s="15" t="str">
        <x:v>Postsecondary outcomes</x:v>
      </x:c>
      <x:c r="B13" s="15" t="str">
        <x:v>SAT/ACT taking, applications, FAFSA, enrollment, persistence, credits, degree</x:v>
      </x:c>
      <x:c r="C13" s="15" t="str">
        <x:v>Percent; credits; degree attainment</x:v>
      </x:c>
      <x:c r="D13" s="15" t="str">
        <x:v>Lottery/RCT; National Student Clearinghouse linkage; cohort controls</x:v>
      </x:c>
      <x:c r="E13" s="15" t="str">
        <x:v>Compare enrollment quality, persistence, and degree, not only initial entry.</x:v>
      </x:c>
      <x:c r="F13" s="15" t="str">
        <x:v>College-going can rise without completion if supports and credits are weak.</x:v>
      </x:c>
      <x:c r="G13" s="15" t="str">
        <x:v>https://www.nber.org/papers/w28756; https://nces.ed.gov/use-work/awards/air-early-college-follow-efficacy-study; https://nces.ed.gov/use-work/evaluations/outcomes-associated-dual-enrollment-programs</x:v>
      </x:c>
      <x:c r="H13" s="15" t="str">
        <x:v>Boston pre-K; early college; NSI</x:v>
      </x:c>
    </x:row>
    <x:row r="14" ht="82" customHeight="1">
      <x:c r="A14" s="15" t="str">
        <x:v>Labor market and adult outcomes</x:v>
      </x:c>
      <x:c r="B14" s="15" t="str">
        <x:v>Earnings, employment, welfare, taxes, home ownership, retirement savings</x:v>
      </x:c>
      <x:c r="C14" s="15" t="str">
        <x:v>Dollars; employment rate</x:v>
      </x:c>
      <x:c r="D14" s="15" t="str">
        <x:v>Long-term RCT follow-up; linked tax/admin records; exposure to finance reforms</x:v>
      </x:c>
      <x:c r="E14" s="15" t="str">
        <x:v>Use real dollars and discounting; account for local labor markets and mobility.</x:v>
      </x:c>
      <x:c r="F14" s="15" t="str">
        <x:v>Long lags and attrition are hard; effects may occur without test-score persistence.</x:v>
      </x:c>
      <x:c r="G14" s="15" t="str">
        <x:v>https://www.nber.org/papers/w16381; https://academic.oup.com/qje/article-abstract/131/1/157/2461148; https://www.mdrc.org/work/publications/career-academies-long-term-impacts-work-education-and-transitions-adulthood; https://cehd.uchicago.edu/?page_id=958</x:v>
      </x:c>
      <x:c r="H14" s="15" t="str">
        <x:v>Project STAR; finance reforms; Career Academies</x:v>
      </x:c>
    </x:row>
    <x:row r="15" ht="82" customHeight="1">
      <x:c r="A15" s="15" t="str">
        <x:v>Health, crime, and civic outcomes</x:v>
      </x:c>
      <x:c r="B15" s="15" t="str">
        <x:v>Incarceration, arrests, health, mortality, voting, civic behavior</x:v>
      </x:c>
      <x:c r="C15" s="15" t="str">
        <x:v>Rates; hazard; binary outcomes</x:v>
      </x:c>
      <x:c r="D15" s="15" t="str">
        <x:v>Long-run administrative linkage; RCT follow-up</x:v>
      </x:c>
      <x:c r="E15" s="15" t="str">
        <x:v>Use consistent legal/reporting definitions and subgroup precision checks.</x:v>
      </x:c>
      <x:c r="F15" s="15" t="str">
        <x:v>Rare outcomes require large samples or long follow-up; multiple testing risk is high.</x:v>
      </x:c>
      <x:c r="G15" s="15" t="str">
        <x:v>https://cehd.uchicago.edu/?page_id=958; https://www.nber.org/papers/w28756</x:v>
      </x:c>
      <x:c r="H15" s="15" t="str">
        <x:v>Perry; Boston pre-K</x:v>
      </x:c>
    </x:row>
    <x:row r="16" ht="82" customHeight="1">
      <x:c r="A16" s="15" t="str">
        <x:v>Cost-effectiveness</x:v>
      </x:c>
      <x:c r="B16" s="15" t="str">
        <x:v>Cost per 0.1 SD, cost per additional graduate, benefit-cost ratio, ROI</x:v>
      </x:c>
      <x:c r="C16" s="15" t="str">
        <x:v>Inflation-adjusted dollars; ratio</x:v>
      </x:c>
      <x:c r="D16" s="15" t="str">
        <x:v>Micro-costing plus effect estimates; sensitivity analysis</x:v>
      </x:c>
      <x:c r="E16" s="15" t="str">
        <x:v>Include start-up, training, administrative, facilities, opportunity costs, and participant time.</x:v>
      </x:c>
      <x:c r="F16" s="15" t="str">
        <x:v>Cheap weak programs can look attractive if costs exclude implementation; expensive programs can be valuable long-run.</x:v>
      </x:c>
      <x:c r="G16" s="15" t="str">
        <x:v>https://files.eric.ed.gov/fulltext/ED613847.pdf; https://academic.oup.com/qje/article-abstract/131/1/157/2461148; https://cehd.uchicago.edu/?page_id=958</x:v>
      </x:c>
      <x:c r="H16" s="15" t="str">
        <x:v>Tutoring; class size; preschool; finance</x:v>
      </x:c>
    </x:row>
    <x:row r="17" ht="82" customHeight="1">
      <x:c r="A17" s="15" t="str">
        <x:v>Implementation mediators</x:v>
      </x:c>
      <x:c r="B17" s="15" t="str">
        <x:v>Fidelity, teacher practice, curriculum usage, software minutes, coaching cycles</x:v>
      </x:c>
      <x:c r="C17" s="15" t="str">
        <x:v>Index; count; minutes</x:v>
      </x:c>
      <x:c r="D17" s="15" t="str">
        <x:v>Mediation analysis, process evaluation, dose-response with cautions</x:v>
      </x:c>
      <x:c r="E17" s="15" t="str">
        <x:v>Use as mechanism evidence, not final student outcome unless the theory is explicitly adult practice.</x:v>
      </x:c>
      <x:c r="F17" s="15" t="str">
        <x:v>Post-treatment variables can be endogenous; high-fidelity sites may differ in unobserved ways.</x:v>
      </x:c>
      <x:c r="G17" s="15" t="str">
        <x:v>https://www.mathematica.org/api/sitecore/MediaLibrary/ActualDownload?fileData=NSI+Evaluation+-+Impacts+on+Student+Outcomes+Final+Report.pdf+-+%7B253F094F-163C-4719-BB71-B1D76F5EE4CE%7D&amp;fileId=%7B253F094F-163C-4719-BB71-B1D76F5EE4CE%7D&amp;fileMime=application%2Fpdf&amp;fileName=NSI+Evaluation+-+Impacts+on+Student+Outcomes+Final+Report.pdf; https://www.rand.org/pubs/research_reports/RRA134-13.html; https://ies.ed.gov/use-work/resource-library/report/evaluation-report/reading-first-impact-study-final-report</x:v>
      </x:c>
      <x:c r="H17" s="15" t="str">
        <x:v>NSI; HQIM; Reading First</x:v>
      </x:c>
    </x:row>
  </x:sheetData>
  <x:pageMargins left="0.7" right="0.7" top="0.75" bottom="0.75" header="0.3" footer="0.3"/>
  <x:tableParts count="1">
    <x:tablePart xmlns:r="http://schemas.openxmlformats.org/officeDocument/2006/relationships" r:id="Rb288602e69c2482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40" hidden="0" customWidth="1"/>
    <x:col min="3" max="3" width="48" hidden="0" customWidth="1"/>
    <x:col min="4" max="4" width="48" hidden="0" customWidth="1"/>
    <x:col min="5" max="5" width="46" hidden="0" customWidth="1"/>
    <x:col min="6" max="6" width="36" hidden="0" customWidth="1"/>
    <x:col min="7" max="7" width="52" hidden="0" customWidth="1"/>
  </x:cols>
  <x:sheetData>
    <x:row r="1">
      <x:c r="A1" s="14" t="str">
        <x:v>Dichotomy / debate</x:v>
      </x:c>
      <x:c r="B1" s="14" t="str">
        <x:v>Poles</x:v>
      </x:c>
      <x:c r="C1" s="14" t="str">
        <x:v>Philosophical disagreement</x:v>
      </x:c>
      <x:c r="D1" s="14" t="str">
        <x:v>What the evidence suggests</x:v>
      </x:c>
      <x:c r="E1" s="14" t="str">
        <x:v>Better synthesis question</x:v>
      </x:c>
      <x:c r="F1" s="14" t="str">
        <x:v>Representative initiatives / sources</x:v>
      </x:c>
      <x:c r="G1" s="14" t="str">
        <x:v>Source URLs</x:v>
      </x:c>
    </x:row>
    <x:row r="2" ht="94" customHeight="1">
      <x:c r="A2" s="15" t="str">
        <x:v>Screens harm development vs technology enables learning</x:v>
      </x:c>
      <x:c r="B2" s="15" t="str">
        <x:v>Passive/replacement screen time vs active, teacher-mediated technology and AI</x:v>
      </x:c>
      <x:c r="C2" s="15" t="str">
        <x:v>Whether digital mediation is inherently developmentally costly or a scalable way to increase practice, feedback, and access.</x:v>
      </x:c>
      <x:c r="D2" s="15" t="str">
        <x:v>The evidence is mixed: device access and some laptop programs can help, but technology alone is not an instructional model; K-12 generative AI evidence is still early.</x:v>
      </x:c>
      <x:c r="E2" s="15" t="str">
        <x:v>What adult-guided task, for which learner, replaces what prior activity, and with what measured learning gain?</x:v>
      </x:c>
      <x:c r="F2" s="15" t="str">
        <x:v>OECD technology review; 1:1 laptop meta-analysis; AI K-12 systematic review</x:v>
      </x:c>
      <x:c r="G2" s="15" t="str">
        <x:v>https://www.oecd.org/en/publications/students-computers-and-learning_9789264239555-en.html; https://scholar.usuhs.edu/en/publications/learning-in-one-to-one-laptop-environments-a-meta-analysis-and-re/; https://www.frontiersin.org/journals/education/articles/10.3389/feduc.2025.1647573/full</x:v>
      </x:c>
    </x:row>
    <x:row r="3" ht="94" customHeight="1">
      <x:c r="A3" s="15" t="str">
        <x:v>Whole language / balanced literacy vs phonics / Science of Reading</x:v>
      </x:c>
      <x:c r="B3" s="15" t="str">
        <x:v>Meaning-first immersion and cueing vs explicit code-based instruction plus language comprehension</x:v>
      </x:c>
      <x:c r="C3" s="15" t="str">
        <x:v>Whether reading is learned naturally through rich literacy exposure or requires systematic instruction in the alphabetic code.</x:v>
      </x:c>
      <x:c r="D3" s="15" t="str">
        <x:v>The evidence strongly supports explicit foundational skills, but reading comprehension also requires vocabulary, background knowledge, fluency, and text experience.</x:v>
      </x:c>
      <x:c r="E3" s="15" t="str">
        <x:v>How do we guarantee code mastery without narrowing reading to decoding drills?</x:v>
      </x:c>
      <x:c r="F3" s="15" t="str">
        <x:v>National Reading Panel; Reading First; Mississippi LBPA</x:v>
      </x:c>
      <x:c r="G3" s="15" t="str">
        <x:v>https://www.nichd.nih.gov/publications/pubs/nrp/findings; https://ies.ed.gov/use-work/resource-library/report/evaluation-report/reading-first-impact-study-final-report; https://www.mdek12.org/literacy/lbpa/</x:v>
      </x:c>
    </x:row>
    <x:row r="4" ht="94" customHeight="1">
      <x:c r="A4" s="15" t="str">
        <x:v>Knowledge-rich curriculum vs generic skills</x:v>
      </x:c>
      <x:c r="B4" s="15" t="str">
        <x:v>Build domain knowledge and vocabulary vs teach transferable strategies like critical thinking</x:v>
      </x:c>
      <x:c r="C4" s="15" t="str">
        <x:v>Whether comprehension and reasoning are mostly general skills or depend on accumulated content knowledge.</x:v>
      </x:c>
      <x:c r="D4" s="15" t="str">
        <x:v>Knowledge-rich approaches are gaining causal support; generic skills are easier to name than to teach without content.</x:v>
      </x:c>
      <x:c r="E4" s="15" t="str">
        <x:v>What content sequence gives students the background knowledge needed to transfer skills?</x:v>
      </x:c>
      <x:c r="F4" s="15" t="str">
        <x:v>Core Knowledge; Common Core ELA; HQIM</x:v>
      </x:c>
      <x:c r="G4" s="15" t="str">
        <x:v>https://education.virginia.edu/news-stories/study-knowledge-rich-curriculum-significantly-boosts-reading-scores; https://www.rand.org/pubs/research_reports/RR2658.html; https://www.rand.org/pubs/research_reports/RRA134-13.html</x:v>
      </x:c>
    </x:row>
    <x:row r="5" ht="94" customHeight="1">
      <x:c r="A5" s="15" t="str">
        <x:v>Direct instruction vs inquiry/project-based learning</x:v>
      </x:c>
      <x:c r="B5" s="15" t="str">
        <x:v>Explicit modeling and practice vs student exploration and authentic projects</x:v>
      </x:c>
      <x:c r="C5" s="15" t="str">
        <x:v>Whether teachers should first explain and scaffold or let students construct understanding through inquiry.</x:v>
      </x:c>
      <x:c r="D5" s="15" t="str">
        <x:v>Novices often need explicit instruction; inquiry and PBL can work when content-rich and heavily scaffolded.</x:v>
      </x:c>
      <x:c r="E5" s="15" t="str">
        <x:v>For which content, prior knowledge level, and assessment type does inquiry beat explicit teaching?</x:v>
      </x:c>
      <x:c r="F5" s="15" t="str">
        <x:v>Direct Instruction; PBL; coaching</x:v>
      </x:c>
      <x:c r="G5" s="15" t="str">
        <x:v>https://eric.ed.gov/?id=EJ353785; https://ies.ed.gov/ncee/wwc/; https://annenberg.brown.edu/publications/effect-teacher-coaching-instruction-and-achievement-meta-analysis-causal-evidence</x:v>
      </x:c>
    </x:row>
    <x:row r="6" ht="94" customHeight="1">
      <x:c r="A6" s="15" t="str">
        <x:v>Standardization/accountability vs professional autonomy</x:v>
      </x:c>
      <x:c r="B6" s="15" t="str">
        <x:v>Common standards, tests, and consequences vs local discretion and teacher judgment</x:v>
      </x:c>
      <x:c r="C6" s="15" t="str">
        <x:v>Whether coherent external pressure improves equity or narrows learning and undermines professionalism.</x:v>
      </x:c>
      <x:c r="D6" s="15" t="str">
        <x:v>Accountability can focus attention and raise some math outcomes, but high-stakes systems create threshold gaming and curriculum narrowing.</x:v>
      </x:c>
      <x:c r="E6" s="15" t="str">
        <x:v>Which outcomes should be common and which decisions should remain local?</x:v>
      </x:c>
      <x:c r="F6" s="15" t="str">
        <x:v>NCLB; Common Core; ESSA</x:v>
      </x:c>
      <x:c r="G6" s="15" t="str">
        <x:v>https://www.nber.org/papers/w15531; https://www.c-sail.org/research/implementation; https://ies.ed.gov/ncee/wwc/essa</x:v>
      </x:c>
    </x:row>
    <x:row r="7" ht="94" customHeight="1">
      <x:c r="A7" s="15" t="str">
        <x:v>Choice/markets vs common public system</x:v>
      </x:c>
      <x:c r="B7" s="15" t="str">
        <x:v>Charters/vouchers/magnets vs neighborhood public schools</x:v>
      </x:c>
      <x:c r="C7" s="15" t="str">
        <x:v>Whether family choice and school autonomy create improvement or undermine shared capacity and equity.</x:v>
      </x:c>
      <x:c r="D7" s="15" t="str">
        <x:v>Effects are highly heterogeneous: some urban charters are strong, while voucher effects vary sharply by state and participating schools.</x:v>
      </x:c>
      <x:c r="E7" s="15" t="str">
        <x:v>What school model and accountability system is being chosen, not just what governance label?</x:v>
      </x:c>
      <x:c r="F7" s="15" t="str">
        <x:v>CREDO charter study; Massachusetts charters; LA voucher evaluation</x:v>
      </x:c>
      <x:c r="G7" s="15" t="str">
        <x:v>https://credo.stanford.edu/reports/item/national-charter-school-study-iii/; https://www.nber.org/papers/w16832; https://www.nber.org/papers/w21839</x:v>
      </x:c>
    </x:row>
    <x:row r="8" ht="94" customHeight="1">
      <x:c r="A8" s="15" t="str">
        <x:v>Central curriculum / HQIM vs teacher-created materials</x:v>
      </x:c>
      <x:c r="B8" s="15" t="str">
        <x:v>Adopt vetted materials and aligned PD vs let teachers design locally responsive curricula</x:v>
      </x:c>
      <x:c r="C8" s="15" t="str">
        <x:v>Whether coherence and quality control outweigh teacher autonomy and adaptation.</x:v>
      </x:c>
      <x:c r="D8" s="15" t="str">
        <x:v>Materials quality matters, but procurement without use, training, and buy-in has weak effects.</x:v>
      </x:c>
      <x:c r="E8" s="15" t="str">
        <x:v>What adaptations preserve the high-leverage content and task quality of the curriculum?</x:v>
      </x:c>
      <x:c r="F8" s="15" t="str">
        <x:v>HQIM networks; Common Core implementation</x:v>
      </x:c>
      <x:c r="G8" s="15" t="str">
        <x:v>https://www.rand.org/pubs/research_reports/RRA134-13.html; https://www.rand.org/pubs/research_reports/RR2658.html</x:v>
      </x:c>
    </x:row>
    <x:row r="9" ht="94" customHeight="1">
      <x:c r="A9" s="15" t="str">
        <x:v>Remediation/readiness vs grade-level acceleration</x:v>
      </x:c>
      <x:c r="B9" s="15" t="str">
        <x:v>Backfill missing skills before grade-level work vs provide grade-level access with just-in-time support</x:v>
      </x:c>
      <x:c r="C9" s="15" t="str">
        <x:v>Whether students below grade level need prerequisite repair or exposure to rigorous current work.</x:v>
      </x:c>
      <x:c r="D9" s="15" t="str">
        <x:v>Access-only reforms can backfire without support; tutoring and scaffolding can make acceleration credible.</x:v>
      </x:c>
      <x:c r="E9" s="15" t="str">
        <x:v>What support lets students succeed in grade-level content without tracking them into low expectations?</x:v>
      </x:c>
      <x:c r="F9" s="15" t="str">
        <x:v>Algebra for All; tutoring; early college</x:v>
      </x:c>
      <x:c r="G9" s="15" t="str">
        <x:v>https://consortium.uchicago.edu/publications/college-preparatory-curriculum-all-consequences-ninth-grade-coursetaking-algebra-and; https://files.eric.ed.gov/fulltext/ED613847.pdf; https://nces.ed.gov/use-work/awards/air-early-college-follow-efficacy-study</x:v>
      </x:c>
    </x:row>
    <x:row r="10" ht="94" customHeight="1">
      <x:c r="A10" s="15" t="str">
        <x:v>Discipline/order vs restorative/relational climate</x:v>
      </x:c>
      <x:c r="B10" s="15" t="str">
        <x:v>Clear consequences and order vs repair, belonging, and reduced exclusion</x:v>
      </x:c>
      <x:c r="C10" s="15" t="str">
        <x:v>Whether safety and instructional time require exclusionary consequences or can be built through relationships.</x:v>
      </x:c>
      <x:c r="D10" s="15" t="str">
        <x:v>PBIS and restorative approaches can improve climate and reduce suspensions, but academic effects depend on implementation and grade level.</x:v>
      </x:c>
      <x:c r="E10" s="15" t="str">
        <x:v>How do we reduce exclusion while preserving safety and time-on-task?</x:v>
      </x:c>
      <x:c r="F10" s="15" t="str">
        <x:v>PBIS; restorative practices; SEL</x:v>
      </x:c>
      <x:c r="G10" s="15" t="str">
        <x:v>https://www.pbis.org/pbis/studies; https://www.rand.org/pubs/research_briefs/RB10051.html; https://casel.org/events/the-evidence-is-clear-an-update-on-research-examining-social-and-emotional-learning/</x:v>
      </x:c>
    </x:row>
    <x:row r="11" ht="94" customHeight="1">
      <x:c r="A11" s="15" t="str">
        <x:v>SEL/whole-child vs academics-first</x:v>
      </x:c>
      <x:c r="B11" s="15" t="str">
        <x:v>Teach social-emotional skills and provide supports vs focus tightly on academic instruction</x:v>
      </x:c>
      <x:c r="C11" s="15" t="str">
        <x:v>Whether nonacademic skills are prerequisites for learning or distractions from content.</x:v>
      </x:c>
      <x:c r="D11" s="15" t="str">
        <x:v>SEL evidence is positive on average, but the strongest designs treat SEL as a complement to instruction, not a substitute.</x:v>
      </x:c>
      <x:c r="E11" s="15" t="str">
        <x:v>Which nonacademic supports measurably increase instructional engagement and persistence?</x:v>
      </x:c>
      <x:c r="F11" s="15" t="str">
        <x:v>SEL; community schools</x:v>
      </x:c>
      <x:c r="G11" s="15" t="str">
        <x:v>https://casel.org/events/the-evidence-is-clear-an-update-on-research-examining-social-and-emotional-learning/; https://www.rand.org/pubs/research_reports/RR3245.html</x:v>
      </x:c>
    </x:row>
    <x:row r="12" ht="94" customHeight="1">
      <x:c r="A12" s="15" t="str">
        <x:v>Teacher incentives/evaluation vs trust/professionalism</x:v>
      </x:c>
      <x:c r="B12" s="15" t="str">
        <x:v>Value-added, observations, incentives, consequences vs autonomy, collaboration, coaching</x:v>
      </x:c>
      <x:c r="C12" s="15" t="str">
        <x:v>Whether teaching quality improves through measurement and consequences or through professional learning and working conditions.</x:v>
      </x:c>
      <x:c r="D12" s="15" t="str">
        <x:v>Coaching has more consistent developmental evidence than simple merit pay; evaluation systems can change workforce composition but carry trust costs.</x:v>
      </x:c>
      <x:c r="E12" s="15" t="str">
        <x:v>Which measures are for development, which for personnel decisions, and how are errors handled?</x:v>
      </x:c>
      <x:c r="F12" s="15" t="str">
        <x:v>Teacher coaching; POINT; DC IMPACT; Gates Intensive Partnerships</x:v>
      </x:c>
      <x:c r="G12" s="15" t="str">
        <x:v>https://annenberg.brown.edu/publications/effect-teacher-coaching-instruction-and-achievement-meta-analysis-causal-evidence; https://my.vanderbilt.edu/performanceincentives/projects/point/; https://www.nber.org/papers/w19403; https://www.rand.org/pubs/research_reports/RR2242.html</x:v>
      </x:c>
    </x:row>
    <x:row r="13" ht="94" customHeight="1">
      <x:c r="A13" s="15" t="str">
        <x:v>Human tutoring vs AI tutoring</x:v>
      </x:c>
      <x:c r="B13" s="15" t="str">
        <x:v>Adult relationship and diagnosis vs scalable AI feedback and practice</x:v>
      </x:c>
      <x:c r="C13" s="15" t="str">
        <x:v>Whether the human relationship is core to tutoring or an expensive delivery mechanism that AI can approximate.</x:v>
      </x:c>
      <x:c r="D13" s="15" t="str">
        <x:v>High-dosage human tutoring has much stronger K-12 causal evidence; AI is promising but not yet equivalently validated.</x:v>
      </x:c>
      <x:c r="E13" s="15" t="str">
        <x:v>Can AI raise dosage or teacher capacity without replacing high-value human interaction?</x:v>
      </x:c>
      <x:c r="F13" s="15" t="str">
        <x:v>High-dosage tutoring; AI K-12 review</x:v>
      </x:c>
      <x:c r="G13" s="15" t="str">
        <x:v>https://files.eric.ed.gov/fulltext/ED613847.pdf; https://www.frontiersin.org/journals/education/articles/10.3389/feduc.2025.1647573/full</x:v>
      </x:c>
    </x:row>
    <x:row r="14" ht="94" customHeight="1">
      <x:c r="A14" s="15" t="str">
        <x:v>Early academics vs play-based pre-K</x:v>
      </x:c>
      <x:c r="B14" s="15" t="str">
        <x:v>Intentional literacy/math instruction vs developmental play and social interaction</x:v>
      </x:c>
      <x:c r="C14" s="15" t="str">
        <x:v>Whether early academic instruction is developmentally inappropriate or necessary for readiness.</x:v>
      </x:c>
      <x:c r="D14" s="15" t="str">
        <x:v>Pre-K effects depend on quality, curriculum, and counterfactual care; Boston and Tennessee show scaled pre-K can produce very different long-run results.</x:v>
      </x:c>
      <x:c r="E14" s="15" t="str">
        <x:v>Which adult-child interactions and curricula produce both readiness and later well-being?</x:v>
      </x:c>
      <x:c r="F14" s="15" t="str">
        <x:v>Head Start; TN Pre-K; Boston pre-K; Perry</x:v>
      </x:c>
      <x:c r="G14" s="15" t="str">
        <x:v>https://eric.ed.gov/?id=ED507845; https://my.vanderbilt.edu/tnprekevaluation/; https://www.nber.org/papers/w28756; https://cehd.uchicago.edu/?page_id=958</x:v>
      </x:c>
    </x:row>
    <x:row r="15" ht="94" customHeight="1">
      <x:c r="A15" s="15" t="str">
        <x:v>College-for-all vs CTE/career pathways</x:v>
      </x:c>
      <x:c r="B15" s="15" t="str">
        <x:v>Academic college-prep sequence vs career-themed applied learning</x:v>
      </x:c>
      <x:c r="C15" s="15" t="str">
        <x:v>Whether career pathways track students away from college or make academics more relevant and valuable.</x:v>
      </x:c>
      <x:c r="D15" s="15" t="str">
        <x:v>High-quality CTE and early college can improve transitions; weak pathways risk low-value credentials or tracking.</x:v>
      </x:c>
      <x:c r="E15" s="15" t="str">
        <x:v>Are students getting portable credentials, academic rigor, and real postsecondary options?</x:v>
      </x:c>
      <x:c r="F15" s="15" t="str">
        <x:v>Career Academies; CTE pathways; early college</x:v>
      </x:c>
      <x:c r="G15" s="15" t="str">
        <x:v>https://www.mdrc.org/work/publications/career-academies-long-term-impacts-work-education-and-transitions-adulthood; https://cteresearchnetwork.org/resources/2024-systematic-review; https://nces.ed.gov/use-work/awards/air-early-college-follow-efficacy-study</x:v>
      </x:c>
    </x:row>
    <x:row r="16" ht="94" customHeight="1">
      <x:c r="A16" s="15" t="str">
        <x:v>Small schools/personalization vs comprehensive breadth</x:v>
      </x:c>
      <x:c r="B16" s="15" t="str">
        <x:v>Smaller relationships and coherence vs large schools with more courses, activities, and economies of scale</x:v>
      </x:c>
      <x:c r="C16" s="15" t="str">
        <x:v>Whether personalization outweighs lost breadth and operational complexity.</x:v>
      </x:c>
      <x:c r="D16" s="15" t="str">
        <x:v>NYC small schools show strong high school outcomes when choice and implementation align; not all small-school conversions replicate this.</x:v>
      </x:c>
      <x:c r="E16" s="15" t="str">
        <x:v>Which functions need smallness, and which can be shared across a larger system?</x:v>
      </x:c>
      <x:c r="F16" s="15" t="str">
        <x:v>NYC Small Schools of Choice; personalized learning</x:v>
      </x:c>
      <x:c r="G16" s="15" t="str">
        <x:v>https://www.mdrc.org/work/projects/new-york-city-small-schools-choice-evaluation; https://www.rand.org/pubs/research_reports/RR1365.html</x:v>
      </x:c>
    </x:row>
    <x:row r="17" ht="94" customHeight="1">
      <x:c r="A17" s="15" t="str">
        <x:v>Data-driven continuous improvement vs big-bang reform</x:v>
      </x:c>
      <x:c r="B17" s="15" t="str">
        <x:v>Rapid cycles, local testing, network learning vs sweeping top-down redesign</x:v>
      </x:c>
      <x:c r="C17" s="15" t="str">
        <x:v>Whether change should be iterative and contextual or broad and decisive.</x:v>
      </x:c>
      <x:c r="D17" s="15" t="str">
        <x:v>NSI evidence is promising for targeted outcomes, but impact depends on engagement, disciplined cycles, and intermediary quality.</x:v>
      </x:c>
      <x:c r="E17" s="15" t="str">
        <x:v>What problem is narrow enough for CI, and when is structural redesign required?</x:v>
      </x:c>
      <x:c r="F17" s="15" t="str">
        <x:v>Gates NSI; SIG</x:v>
      </x:c>
      <x:c r="G17" s="15" t="str">
        <x:v>https://usprogram.gatesfoundation.org/news-and-insights/articles/networks-for-school-improvement-initiative-lessons-learned-to-inform-student-and-teacher-success; https://www.mathematica.org/api/sitecore/MediaLibrary/ActualDownload?fileData=NSI+Evaluation+-+Impacts+on+Student+Outcomes+Final+Report.pdf+-+%7B253F094F-163C-4719-BB71-B1D76F5EE4CE%7D&amp;fileId=%7B253F094F-163C-4719-BB71-B1D76F5EE4CE%7D&amp;fileMime=application%2Fpdf&amp;fileName=NSI+Evaluation+-+Impacts+on+Student+Outcomes+Final+Report.pdf; https://ies.ed.gov/use-work/resource-library/report/evaluation-report/school-improvement-grants-implementation-and-effectiveness</x:v>
      </x:c>
    </x:row>
    <x:row r="18" ht="94" customHeight="1">
      <x:c r="A18" s="15" t="str">
        <x:v>Integration/desegregation vs neighborhood/local control</x:v>
      </x:c>
      <x:c r="B18" s="15" t="str">
        <x:v>Diverse, intentionally integrated schools vs local assignment and community control</x:v>
      </x:c>
      <x:c r="C18" s="15" t="str">
        <x:v>Whether equal opportunity requires mixing students across race/class or strengthening neighborhood schools.</x:v>
      </x:c>
      <x:c r="D18" s="15" t="str">
        <x:v>Integration can affect peers, resources, and expectations, but test-score-only evaluation misses civic and social goals.</x:v>
      </x:c>
      <x:c r="E18" s="15" t="str">
        <x:v>Which student outcomes count: achievement, opportunity, civic contact, safety, or legitimacy?</x:v>
      </x:c>
      <x:c r="F18" s="15" t="str">
        <x:v>Magnet schools; controlled choice</x:v>
      </x:c>
      <x:c r="G18" s="15" t="str">
        <x:v>https://ies.ed.gov/ncee/wwc/</x:v>
      </x:c>
    </x:row>
    <x:row r="19" ht="94" customHeight="1">
      <x:c r="A19" s="15" t="str">
        <x:v>Tracking/acceleration vs detracking/inclusion</x:v>
      </x:c>
      <x:c r="B19" s="15" t="str">
        <x:v>Sort students by readiness vs keep access to rigorous shared courses</x:v>
      </x:c>
      <x:c r="C19" s="15" t="str">
        <x:v>Whether grouping protects pace and fit or institutionalizes low expectations.</x:v>
      </x:c>
      <x:c r="D19" s="15" t="str">
        <x:v>Algebra-for-all evidence warns that detracking without supports can increase failures; acceleration must include scaffolds.</x:v>
      </x:c>
      <x:c r="E19" s="15" t="str">
        <x:v>How do schools preserve rigor and access while giving different students different supports?</x:v>
      </x:c>
      <x:c r="F19" s="15" t="str">
        <x:v>Algebra for All; tutoring; AP/dual enrollment</x:v>
      </x:c>
      <x:c r="G19" s="15" t="str">
        <x:v>https://consortium.uchicago.edu/publications/college-preparatory-curriculum-all-consequences-ninth-grade-coursetaking-algebra-and; https://files.eric.ed.gov/fulltext/ED613847.pdf; https://nces.ed.gov/use-work/evaluations/outcomes-associated-dual-enrollment-programs</x:v>
      </x:c>
    </x:row>
    <x:row r="20" ht="94" customHeight="1">
      <x:c r="A20" s="15" t="str">
        <x:v>Bilingual dual-language vs English immersion</x:v>
      </x:c>
      <x:c r="B20" s="15" t="str">
        <x:v>Maintain bilingual development and biliteracy vs concentrate on rapid English acquisition</x:v>
      </x:c>
      <x:c r="C20" s="15" t="str">
        <x:v>Whether home-language development supports cognition and identity or slows English academic progress.</x:v>
      </x:c>
      <x:c r="D20" s="15" t="str">
        <x:v>Evaluation must separate language proficiency, content learning, long-run attainment, and family/community goals.</x:v>
      </x:c>
      <x:c r="E20" s="15" t="str">
        <x:v>What is the time horizon, and are we measuring English-only achievement or biliteracy plus academics?</x:v>
      </x:c>
      <x:c r="F20" s="15" t="str">
        <x:v>English learner policy research; dual-language programs</x:v>
      </x:c>
      <x:c r="G20" s="15" t="str">
        <x:v>https://ies.ed.gov/ncee/wwc/</x:v>
      </x:c>
    </x:row>
    <x:row r="21" ht="94" customHeight="1">
      <x:c r="A21" s="15" t="str">
        <x:v>More money/resources vs 'money does not matter'</x:v>
      </x:c>
      <x:c r="B21" s="15" t="str">
        <x:v>Increase targeted spending and staffing vs focus on incentives, efficiency, and governance</x:v>
      </x:c>
      <x:c r="C21" s="15" t="str">
        <x:v>Whether resource constraints are causal or secondary to how schools use existing resources.</x:v>
      </x:c>
      <x:c r="D21" s="15" t="str">
        <x:v>Court-reform evidence indicates sustained targeted dollars can improve outcomes, but money still needs coherent use.</x:v>
      </x:c>
      <x:c r="E21" s="15" t="str">
        <x:v>Which marginal dollars buy the highest-value inputs in this context?</x:v>
      </x:c>
      <x:c r="F21" s="15" t="str">
        <x:v>School finance reforms; ESSER</x:v>
      </x:c>
      <x:c r="G21" s="15" t="str">
        <x:v>https://academic.oup.com/qje/article-abstract/131/1/157/2461148; https://educationrecoveryscorecard.org/</x:v>
      </x:c>
    </x:row>
    <x:row r="22" ht="94" customHeight="1">
      <x:c r="A22" s="15" t="str">
        <x:v>Seat time vs mastery</x:v>
      </x:c>
      <x:c r="B22" s="15" t="str">
        <x:v>Credit for time and course completion vs progression after demonstrated mastery</x:v>
      </x:c>
      <x:c r="C22" s="15" t="str">
        <x:v>Whether learning systems should be organized around exposure or competence.</x:v>
      </x:c>
      <x:c r="D22" s="15" t="str">
        <x:v>Mastery models are philosophically compelling but hard to evaluate because grades, credits, and pacing rules change meaning.</x:v>
      </x:c>
      <x:c r="E22" s="15" t="str">
        <x:v>What external outcomes verify mastery when internal grades are redesigned?</x:v>
      </x:c>
      <x:c r="F22" s="15" t="str">
        <x:v>Competency-based learning; personalized learning</x:v>
      </x:c>
      <x:c r="G22" s="15" t="str">
        <x:v>https://www.rand.org/pubs/research_reports/RR1365.html; https://ies.ed.gov/ncee/wwc/</x:v>
      </x:c>
    </x:row>
  </x:sheetData>
  <x:pageMargins left="0.7" right="0.7" top="0.75" bottom="0.75" header="0.3" footer="0.3"/>
  <x:tableParts count="1">
    <x:tablePart xmlns:r="http://schemas.openxmlformats.org/officeDocument/2006/relationships" r:id="R6a55e1849ffe4dcb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0" hidden="0" customWidth="1"/>
    <x:col min="3" max="3" width="62" hidden="0" customWidth="1"/>
    <x:col min="4" max="4" width="60" hidden="0" customWidth="1"/>
  </x:cols>
  <x:sheetData>
    <x:row r="1">
      <x:c r="A1" s="14" t="str">
        <x:v>Section</x:v>
      </x:c>
      <x:c r="B1" s="14" t="str">
        <x:v>Item</x:v>
      </x:c>
      <x:c r="C1" s="14" t="str">
        <x:v>Definition / use</x:v>
      </x:c>
      <x:c r="D1" s="14" t="str">
        <x:v>Primary URLs</x:v>
      </x:c>
    </x:row>
    <x:row r="2" ht="66" customHeight="1">
      <x:c r="A2" s="15" t="str">
        <x:v>Evidence signal</x:v>
      </x:c>
      <x:c r="B2" s="15" t="str">
        <x:v>Strong causal evidence</x:v>
      </x:c>
      <x:c r="C2" s="15" t="str">
        <x:v>Multiple RCTs, high-quality RCT/lottery evidence, or strong quasi-experimental evidence with clear student outcome effects.</x:v>
      </x:c>
      <x:c r="D2" s="15" t="str">
        <x:v>https://ies.ed.gov/ncee/wwc/; https://ies.ed.gov/ncee/wwc/essa; https://ies.ed.gov/ncee/wwc/Handbooks</x:v>
      </x:c>
    </x:row>
    <x:row r="3" ht="66" customHeight="1">
      <x:c r="A3" s="15" t="str">
        <x:v>Evidence signal</x:v>
      </x:c>
      <x:c r="B3" s="15" t="str">
        <x:v>Promising causal/quasi</x:v>
      </x:c>
      <x:c r="C3" s="15" t="str">
        <x:v>Credible lottery, regression discontinuity, difference-in-differences, or well-controlled evidence, but narrower samples or mixed replication.</x:v>
      </x:c>
      <x:c r="D3" s="15" t="str">
        <x:v>https://ies.ed.gov/ncee/wwc/; https://ies.ed.gov/ncee/wwc/essa</x:v>
      </x:c>
    </x:row>
    <x:row r="4" ht="66" customHeight="1">
      <x:c r="A4" s="15" t="str">
        <x:v>Evidence signal</x:v>
      </x:c>
      <x:c r="B4" s="15" t="str">
        <x:v>Mixed/conditional</x:v>
      </x:c>
      <x:c r="C4" s="15" t="str">
        <x:v>Evidence varies by context, outcome, implementation, or student group; may include positive and null/negative findings.</x:v>
      </x:c>
      <x:c r="D4" s="15" t="str">
        <x:v>https://ies.ed.gov/ncee/wwc/</x:v>
      </x:c>
    </x:row>
    <x:row r="5" ht="66" customHeight="1">
      <x:c r="A5" s="15" t="str">
        <x:v>Evidence signal</x:v>
      </x:c>
      <x:c r="B5" s="15" t="str">
        <x:v>Limited/descriptive</x:v>
      </x:c>
      <x:c r="C5" s="15" t="str">
        <x:v>Implementation, trend, or correlational evidence without strong causal identification.</x:v>
      </x:c>
      <x:c r="D5" s="15" t="str">
        <x:v>https://nces.ed.gov/nationsreportcard/; https://cepa.stanford.edu/seda2/data-download</x:v>
      </x:c>
    </x:row>
    <x:row r="6" ht="66" customHeight="1">
      <x:c r="A6" s="15" t="str">
        <x:v>Evidence signal</x:v>
      </x:c>
      <x:c r="B6" s="15" t="str">
        <x:v>Not an outcome intervention</x:v>
      </x:c>
      <x:c r="C6" s="15" t="str">
        <x:v>A research infrastructure, standard, or framework that shapes evidence use but is not itself a student intervention.</x:v>
      </x:c>
      <x:c r="D6" s="15" t="str">
        <x:v>https://ies.ed.gov/ncee/wwc/; https://ies.ed.gov/ncee/wwc/essa</x:v>
      </x:c>
    </x:row>
    <x:row r="7" ht="66" customHeight="1">
      <x:c r="A7" s="15" t="str">
        <x:v>Design glossary</x:v>
      </x:c>
      <x:c r="B7" s="15" t="str">
        <x:v>RCT</x:v>
      </x:c>
      <x:c r="C7" s="15" t="str">
        <x:v>Random assignment to treatment/control; strongest internal validity when implemented and analyzed well.</x:v>
      </x:c>
      <x:c r="D7" s="15" t="str">
        <x:v>https://ies.ed.gov/ncee/wwc/Handbooks; https://ies.ed.gov/ncee/wwc/essa</x:v>
      </x:c>
    </x:row>
    <x:row r="8" ht="66" customHeight="1">
      <x:c r="A8" s="15" t="str">
        <x:v>Design glossary</x:v>
      </x:c>
      <x:c r="B8" s="15" t="str">
        <x:v>Lottery design</x:v>
      </x:c>
      <x:c r="C8" s="15" t="str">
        <x:v>Uses oversubscribed admissions lotteries as random or near-random offers; estimates effects for applicants.</x:v>
      </x:c>
      <x:c r="D8" s="15" t="str">
        <x:v>https://www.mdrc.org/work/projects/new-york-city-small-schools-choice-evaluation; https://nces.ed.gov/use-work/awards/air-early-college-follow-efficacy-study; https://www.nber.org/papers/w28756</x:v>
      </x:c>
    </x:row>
    <x:row r="9" ht="66" customHeight="1">
      <x:c r="A9" s="15" t="str">
        <x:v>Design glossary</x:v>
      </x:c>
      <x:c r="B9" s="15" t="str">
        <x:v>Regression discontinuity</x:v>
      </x:c>
      <x:c r="C9" s="15" t="str">
        <x:v>Compares students/schools just above and below an eligibility cutoff; local to the cutoff.</x:v>
      </x:c>
      <x:c r="D9" s="15" t="str">
        <x:v>https://ies.ed.gov/use-work/resource-library/report/evaluation-report/school-improvement-grants-implementation-and-effectiveness; https://wheelockpolicycenter.org/high-quality-education/ms-read-by-grade-three/</x:v>
      </x:c>
    </x:row>
    <x:row r="10" ht="66" customHeight="1">
      <x:c r="A10" s="15" t="str">
        <x:v>Design glossary</x:v>
      </x:c>
      <x:c r="B10" s="15" t="str">
        <x:v>Difference-in-differences / event study</x:v>
      </x:c>
      <x:c r="C10" s="15" t="str">
        <x:v>Compares pre-post changes for treated vs comparison groups; relies on parallel pre-trends.</x:v>
      </x:c>
      <x:c r="D10" s="15" t="str">
        <x:v>https://academic.oup.com/qje/article-abstract/131/1/157/2461148; https://www.nber.org/papers/w15531</x:v>
      </x:c>
    </x:row>
    <x:row r="11" ht="66" customHeight="1">
      <x:c r="A11" s="15" t="str">
        <x:v>Design glossary</x:v>
      </x:c>
      <x:c r="B11" s="15" t="str">
        <x:v>Matched comparison / virtual control</x:v>
      </x:c>
      <x:c r="C11" s="15" t="str">
        <x:v>Matches treated students/schools to similar untreated units; sensitive to unobserved selection.</x:v>
      </x:c>
      <x:c r="D11" s="15" t="str">
        <x:v>https://credo.stanford.edu/reports/item/national-charter-school-study-iii/; https://www.rand.org/pubs/research_reports/RR1365.html</x:v>
      </x:c>
    </x:row>
    <x:row r="12" ht="66" customHeight="1">
      <x:c r="A12" s="15" t="str">
        <x:v>Design glossary</x:v>
      </x:c>
      <x:c r="B12" s="15" t="str">
        <x:v>Meta-analysis / systematic review</x:v>
      </x:c>
      <x:c r="C12" s="15" t="str">
        <x:v>Aggregates effects across studies; results depend on inclusion rules and comparability.</x:v>
      </x:c>
      <x:c r="D12" s="15" t="str">
        <x:v>https://annenberg.brown.edu/publications/effect-teacher-coaching-instruction-and-achievement-meta-analysis-causal-evidence; https://files.eric.ed.gov/fulltext/ED613847.pdf; https://scholar.usuhs.edu/en/publications/learning-in-one-to-one-laptop-environments-a-meta-analysis-and-re/</x:v>
      </x:c>
    </x:row>
    <x:row r="13" ht="66" customHeight="1">
      <x:c r="A13" s="15" t="str">
        <x:v>Normalization</x:v>
      </x:c>
      <x:c r="B13" s="15" t="str">
        <x:v>Effect sizes</x:v>
      </x:c>
      <x:c r="C13" s="15" t="str">
        <x:v>Convert outcome differences to standard deviations to compare tests and grades; interpret with outcome and age context.</x:v>
      </x:c>
      <x:c r="D13" s="15" t="str">
        <x:v>https://ies.ed.gov/ncee/wwc/Handbooks</x:v>
      </x:c>
    </x:row>
    <x:row r="14" ht="66" customHeight="1">
      <x:c r="A14" s="15" t="str">
        <x:v>Normalization</x:v>
      </x:c>
      <x:c r="B14" s="15" t="str">
        <x:v>Common scales</x:v>
      </x:c>
      <x:c r="C14" s="15" t="str">
        <x:v>Use low-stakes national or harmonized data such as NAEP or SEDA when state tests change.</x:v>
      </x:c>
      <x:c r="D14" s="15" t="str">
        <x:v>https://nces.ed.gov/nationsreportcard/; https://cepa.stanford.edu/seda2/data-download</x:v>
      </x:c>
    </x:row>
    <x:row r="15" ht="66" customHeight="1">
      <x:c r="A15" s="15" t="str">
        <x:v>Normalization</x:v>
      </x:c>
      <x:c r="B15" s="15" t="str">
        <x:v>ITT vs TOT</x:v>
      </x:c>
      <x:c r="C15" s="15" t="str">
        <x:v>Intent-to-treat estimates effect of offer/assignment; treatment-on-treated estimates effect among compliers and needs stronger assumptions.</x:v>
      </x:c>
      <x:c r="D15" s="15" t="str">
        <x:v>https://ies.ed.gov/ncee/wwc/Handbooks</x:v>
      </x:c>
    </x:row>
    <x:row r="16" ht="66" customHeight="1">
      <x:c r="A16" s="15" t="str">
        <x:v>Normalization</x:v>
      </x:c>
      <x:c r="B16" s="15" t="str">
        <x:v>Cost-effectiveness</x:v>
      </x:c>
      <x:c r="C16" s="15" t="str">
        <x:v>Pair credible effect estimates with full implementation costs, not only grant totals or software licenses.</x:v>
      </x:c>
      <x:c r="D16" s="15" t="str">
        <x:v>https://files.eric.ed.gov/fulltext/ED613847.pdf; https://academic.oup.com/qje/article-abstract/131/1/157/2461148</x:v>
      </x:c>
    </x:row>
    <x:row r="17" ht="66" customHeight="1">
      <x:c r="A17" s="15" t="str">
        <x:v>Core resource</x:v>
      </x:c>
      <x:c r="B17" s="15" t="str">
        <x:v>What Works Clearinghouse</x:v>
      </x:c>
      <x:c r="C17" s="15" t="str">
        <x:v>Central federal source for systematic evidence reviews and intervention reports.</x:v>
      </x:c>
      <x:c r="D17" s="15" t="str">
        <x:v>https://ies.ed.gov/ncee/wwc/</x:v>
      </x:c>
    </x:row>
    <x:row r="18" ht="66" customHeight="1">
      <x:c r="A18" s="15" t="str">
        <x:v>Core resource</x:v>
      </x:c>
      <x:c r="B18" s="15" t="str">
        <x:v>ESSA evidence tiers</x:v>
      </x:c>
      <x:c r="C18" s="15" t="str">
        <x:v>Operational evidence tiers for federal education program decisions.</x:v>
      </x:c>
      <x:c r="D18" s="15" t="str">
        <x:v>https://ies.ed.gov/ncee/wwc/essa</x:v>
      </x:c>
    </x:row>
    <x:row r="19" ht="66" customHeight="1">
      <x:c r="A19" s="15" t="str">
        <x:v>Core resource</x:v>
      </x:c>
      <x:c r="B19" s="15" t="str">
        <x:v>NAEP</x:v>
      </x:c>
      <x:c r="C19" s="15" t="str">
        <x:v>Low-stakes nationally representative assessment useful for cross-state comparison and trend checks.</x:v>
      </x:c>
      <x:c r="D19" s="15" t="str">
        <x:v>https://nces.ed.gov/nationsreportcard/</x:v>
      </x:c>
    </x:row>
    <x:row r="20" ht="66" customHeight="1">
      <x:c r="A20" s="15" t="str">
        <x:v>Core resource</x:v>
      </x:c>
      <x:c r="B20" s="15" t="str">
        <x:v>SEDA</x:v>
      </x:c>
      <x:c r="C20" s="15" t="str">
        <x:v>Harmonized district/county achievement and gap data for cross-place comparisons.</x:v>
      </x:c>
      <x:c r="D20" s="15" t="str">
        <x:v>https://cepa.stanford.edu/seda2/data-download</x:v>
      </x:c>
    </x:row>
    <x:row r="21" ht="66" customHeight="1">
      <x:c r="A21" s="15" t="str">
        <x:v>Core resource</x:v>
      </x:c>
      <x:c r="B21" s="15" t="str">
        <x:v>Education Recovery Scorecard</x:v>
      </x:c>
      <x:c r="C21" s="15" t="str">
        <x:v>Harvard/Stanford recovery data linking pandemic recovery patterns, relief, and district outcomes.</x:v>
      </x:c>
      <x:c r="D21" s="15" t="str">
        <x:v>https://educationrecoveryscorecard.org/</x:v>
      </x:c>
    </x:row>
  </x:sheetData>
  <x:pageMargins left="0.7" right="0.7" top="0.75" bottom="0.75" header="0.3" footer="0.3"/>
  <x:tableParts count="1">
    <x:tablePart xmlns:r="http://schemas.openxmlformats.org/officeDocument/2006/relationships" r:id="Rb20e8c5a6810471c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3" max="3" width="24" hidden="0" customWidth="1"/>
    <x:col min="5" max="5" width="34" hidden="0" customWidth="1"/>
  </x:cols>
  <x:sheetData>
    <x:row r="1">
      <x:c r="A1" s="6" t="str">
        <x:v>Categories</x:v>
      </x:c>
      <x:c r="B1" s="6"/>
      <x:c r="C1" s="6" t="str">
        <x:v>Evidence signals</x:v>
      </x:c>
      <x:c r="D1" s="6"/>
      <x:c r="E1" s="6" t="str">
        <x:v>Evaluation design tags</x:v>
      </x:c>
    </x:row>
    <x:row r="2">
      <x:c r="A2" t="str">
        <x:v>Standards/accountability</x:v>
      </x:c>
      <x:c r="C2" t="str">
        <x:v>Strong causal evidence</x:v>
      </x:c>
      <x:c r="E2" t="str">
        <x:v>RCT</x:v>
      </x:c>
    </x:row>
    <x:row r="3">
      <x:c r="A3" t="str">
        <x:v>Literacy</x:v>
      </x:c>
      <x:c r="C3" t="str">
        <x:v>Promising causal/quasi</x:v>
      </x:c>
      <x:c r="E3" t="str">
        <x:v>Lottery/quasi-experimental</x:v>
      </x:c>
    </x:row>
    <x:row r="4">
      <x:c r="A4" t="str">
        <x:v>Curriculum/pedagogy</x:v>
      </x:c>
      <x:c r="C4" t="str">
        <x:v>Mixed/conditional</x:v>
      </x:c>
      <x:c r="E4" t="str">
        <x:v>Regression discontinuity</x:v>
      </x:c>
    </x:row>
    <x:row r="5">
      <x:c r="A5" t="str">
        <x:v>Teacher workforce</x:v>
      </x:c>
      <x:c r="C5" t="str">
        <x:v>Limited/descriptive</x:v>
      </x:c>
      <x:c r="E5" t="str">
        <x:v>Difference-in-differences/event study</x:v>
      </x:c>
    </x:row>
    <x:row r="6">
      <x:c r="A6" t="str">
        <x:v>School organization/governance</x:v>
      </x:c>
      <x:c r="C6" t="str">
        <x:v>Not an outcome intervention</x:v>
      </x:c>
      <x:c r="E6" t="str">
        <x:v>Matched comparison/value-added</x:v>
      </x:c>
    </x:row>
    <x:row r="7">
      <x:c r="A7" t="str">
        <x:v>Choice</x:v>
      </x:c>
      <x:c r="E7" t="str">
        <x:v>Meta-analysis/systematic review</x:v>
      </x:c>
    </x:row>
    <x:row r="8">
      <x:c r="A8" t="str">
        <x:v>Whole-child/climate</x:v>
      </x:c>
      <x:c r="E8" t="str">
        <x:v>Descriptive/implementation study</x:v>
      </x:c>
    </x:row>
    <x:row r="9">
      <x:c r="A9" t="str">
        <x:v>Early childhood</x:v>
      </x:c>
      <x:c r="E9" t="str">
        <x:v>Trend/NAEP/state panel</x:v>
      </x:c>
    </x:row>
    <x:row r="10">
      <x:c r="A10" t="str">
        <x:v>Time/dosage</x:v>
      </x:c>
    </x:row>
    <x:row r="11">
      <x:c r="A11" t="str">
        <x:v>Technology</x:v>
      </x:c>
    </x:row>
    <x:row r="12">
      <x:c r="A12" t="str">
        <x:v>Postsecondary/CTE</x:v>
      </x:c>
    </x:row>
    <x:row r="13">
      <x:c r="A13" t="str">
        <x:v>Finance/recovery</x:v>
      </x:c>
    </x:row>
    <x:row r="14">
      <x:c r="A14" t="str">
        <x:v>Evidence infrastructure</x:v>
      </x:c>
    </x:row>
  </x:sheetData>
  <x:pageMargins left="0.7" right="0.7" top="0.75" bottom="0.75" header="0.3" footer="0.3"/>
</x:worksheet>
</file>